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roducts" sheetId="2" state="visible" r:id="rId4"/>
    <sheet name="Epics" sheetId="3" state="visible" r:id="rId5"/>
    <sheet name="Backlog" sheetId="4" state="visible" r:id="rId6"/>
    <sheet name="Delivery Plan" sheetId="5" state="visible" r:id="rId7"/>
    <sheet name="Dependencies" sheetId="6" state="visible" r:id="rId8"/>
    <sheet name="API Index" sheetId="7" state="visible" r:id="rId9"/>
    <sheet name="Screens" sheetId="8" state="visible" r:id="rId10"/>
    <sheet name="Error Map" sheetId="9" state="visible" r:id="rId11"/>
    <sheet name="Header Policy" sheetId="10" state="visible" r:id="rId12"/>
    <sheet name="Risks" sheetId="11" state="visible" r:id="rId13"/>
    <sheet name="Jira Import" sheetId="12" state="visible" r:id="rId14"/>
  </sheets>
  <definedNames>
    <definedName function="false" hidden="false" localSheetId="6" name="_xlnm.Print_Titles" vbProcedure="false">'API Index'!$1:$1</definedName>
    <definedName function="false" hidden="true" localSheetId="6" name="_xlnm._FilterDatabase" vbProcedure="false">'API Index'!$A$1:$E$99</definedName>
    <definedName function="false" hidden="false" localSheetId="3" name="_xlnm.Print_Titles" vbProcedure="false">Backlog!$1:$1</definedName>
    <definedName function="false" hidden="true" localSheetId="3" name="_xlnm._FilterDatabase" vbProcedure="false">Backlog!$A$1:$S$120</definedName>
    <definedName function="false" hidden="false" localSheetId="5" name="_xlnm.Print_Titles" vbProcedure="false">Dependencies!$1:$1</definedName>
    <definedName function="false" hidden="true" localSheetId="5" name="_xlnm._FilterDatabase" vbProcedure="false">Dependencies!$A$1:$I$192</definedName>
    <definedName function="false" hidden="false" localSheetId="2" name="_xlnm.Print_Titles" vbProcedure="false">Epics!$1:$1</definedName>
    <definedName function="false" hidden="true" localSheetId="2" name="_xlnm._FilterDatabase" vbProcedure="false">Epics!$A$1:$K$21</definedName>
    <definedName function="false" hidden="false" localSheetId="8" name="_xlnm.Print_Titles" vbProcedure="false">'Error Map'!$1:$1</definedName>
    <definedName function="false" hidden="true" localSheetId="8" name="_xlnm._FilterDatabase" vbProcedure="false">'Error Map'!$A$1:$D$14</definedName>
    <definedName function="false" hidden="false" localSheetId="9" name="_xlnm.Print_Titles" vbProcedure="false">'Header Policy'!$1:$1</definedName>
    <definedName function="false" hidden="true" localSheetId="9" name="_xlnm._FilterDatabase" vbProcedure="false">'Header Policy'!$A$1:$D$16</definedName>
    <definedName function="false" hidden="false" localSheetId="11" name="_xlnm.Print_Titles" vbProcedure="false">'Jira Import'!$1:$1</definedName>
    <definedName function="false" hidden="false" localSheetId="1" name="_xlnm.Print_Titles" vbProcedure="false">Products!$1:$1</definedName>
    <definedName function="false" hidden="false" localSheetId="10" name="_xlnm.Print_Titles" vbProcedure="false">Risks!$1:$1</definedName>
    <definedName function="false" hidden="true" localSheetId="10" name="_xlnm._FilterDatabase" vbProcedure="false">Risks!$A$1:$F$11</definedName>
    <definedName function="false" hidden="false" localSheetId="7" name="_xlnm.Print_Titles" vbProcedure="false">Screens!$1:$1</definedName>
    <definedName function="false" hidden="true" localSheetId="7" name="_xlnm._FilterDatabase" vbProcedure="false">Screens!$A$1:$F$42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<sst xmlns="http://schemas.openxmlformats.org/spreadsheetml/2006/main" count="6676" uniqueCount="1627">
  <si>
    <t xml:space="preserve">Layer 1 frontend — complete project workbook</t>
  </si>
  <si>
    <t xml:space="preserve">Five products plus a shared HTTP kit, delivered in parallel with backend SP-00 … SP-04. Source of truth: docs/api/catalog/*.php — b (request body) / r (data shape) / e (error codes).</t>
  </si>
  <si>
    <t xml:space="preserve">Contents</t>
  </si>
  <si>
    <t xml:space="preserve">Products</t>
  </si>
  <si>
    <t xml:space="preserve">The six delivery units: repository, surface, guard, X-Client, backend dependency and volume.</t>
  </si>
  <si>
    <t xml:space="preserve">Epics</t>
  </si>
  <si>
    <t xml:space="preserve">The 20 epics with scope, sequencing constraints and the manual acceptance walkthrough.</t>
  </si>
  <si>
    <t xml:space="preserve">Backlog</t>
  </si>
  <si>
    <t xml:space="preserve">Every issue, one row, with full requirements and acceptance criteria readable in place.</t>
  </si>
  <si>
    <t xml:space="preserve">Delivery Plan</t>
  </si>
  <si>
    <t xml:space="preserve">Points and issue counts per week and team, and per backend gate. All figures are formulas over the Backlog sheet.</t>
  </si>
  <si>
    <t xml:space="preserve">Dependencies</t>
  </si>
  <si>
    <t xml:space="preserve">One row per blocking link, with cross-product links flagged.</t>
  </si>
  <si>
    <t xml:space="preserve">API Index</t>
  </si>
  <si>
    <t xml:space="preserve">Every endpoint and EP-ID the layer touches, and which issues consume it.</t>
  </si>
  <si>
    <t xml:space="preserve">Screens</t>
  </si>
  <si>
    <t xml:space="preserve">Every FE-* screen identifier and the issues that build it.</t>
  </si>
  <si>
    <t xml:space="preserve">Error Map</t>
  </si>
  <si>
    <t xml:space="preserve">The twelve envelope error codes and the required client behaviour.</t>
  </si>
  <si>
    <t xml:space="preserve">Header Policy</t>
  </si>
  <si>
    <t xml:space="preserve">Request headers, exemptions, forbidden paths, money and list rules.</t>
  </si>
  <si>
    <t xml:space="preserve">Risks</t>
  </si>
  <si>
    <t xml:space="preserve">Risk register with the issue that mitigates each risk.</t>
  </si>
  <si>
    <t xml:space="preserve">Jira Import</t>
  </si>
  <si>
    <t xml:space="preserve">Flat machine-readable sheet. Save this tab alone as CSV UTF-8 and import.</t>
  </si>
  <si>
    <t xml:space="preserve">Definition of done — applies to every issue in this workbook</t>
  </si>
  <si>
    <t xml:space="preserve">1.</t>
  </si>
  <si>
    <t xml:space="preserve">Runs against real staging — no mock data in the merged branch.</t>
  </si>
  <si>
    <t xml:space="preserve">2.</t>
  </si>
  <si>
    <t xml:space="preserve">HTTP 422 paints the named fields from error.details.{field}, never a generic banner.</t>
  </si>
  <si>
    <t xml:space="preserve">3.</t>
  </si>
  <si>
    <t xml:space="preserve">Every write carries X-Idempotency-Key tied to the confirm tap; a network retry reuses the same key.</t>
  </si>
  <si>
    <t xml:space="preserve">4.</t>
  </si>
  <si>
    <t xml:space="preserve">Permissions drive visibility: a control the user cannot use is absent or disabled.</t>
  </si>
  <si>
    <t xml:space="preserve">5.</t>
  </si>
  <si>
    <t xml:space="preserve">Loading, empty, error and offline states are all implemented.</t>
  </si>
  <si>
    <t xml:space="preserve">6.</t>
  </si>
  <si>
    <t xml:space="preserve">RTL layout is correct and every amount, limit and FX rate is an integer.</t>
  </si>
  <si>
    <t xml:space="preserve">7.</t>
  </si>
  <si>
    <t xml:space="preserve">No request is made to any path outside the L1 allowlist (enforced by FE-CORE-10).</t>
  </si>
  <si>
    <t xml:space="preserve">8.</t>
  </si>
  <si>
    <t xml:space="preserve">The PR contains a screenshot or GIF of the journey and names the EP-ID used.</t>
  </si>
  <si>
    <t xml:space="preserve">9.</t>
  </si>
  <si>
    <t xml:space="preserve">Zero console errors and zero new lint warnings.</t>
  </si>
  <si>
    <t xml:space="preserve">Totals</t>
  </si>
  <si>
    <t xml:space="preserve">Issues</t>
  </si>
  <si>
    <t xml:space="preserve">Story points</t>
  </si>
  <si>
    <t xml:space="preserve">Blocking links</t>
  </si>
  <si>
    <t xml:space="preserve">Exporting to Jira</t>
  </si>
  <si>
    <t xml:space="preserve">Step 1</t>
  </si>
  <si>
    <t xml:space="preserve">Create the components first: api-client, ui-kit, ci, packages/b2b-auth-flow, apps/retailer, apps/rep, apps/channel-web, apps/warehouse-web, apps/platform-web.</t>
  </si>
  <si>
    <t xml:space="preserve">Step 2</t>
  </si>
  <si>
    <t xml:space="preserve">Confirm Story Points and Epic Link are on the issue screens for both Story and Task types. This is the commonest cause of silently dropped values.</t>
  </si>
  <si>
    <t xml:space="preserve">Step 3</t>
  </si>
  <si>
    <t xml:space="preserve">Open the Jira Import tab, then File &gt; Save As &gt; CSV UTF-8. Export that tab alone; do not reformat it and do not export the Backlog tab.</t>
  </si>
  <si>
    <t xml:space="preserve">Step 4</t>
  </si>
  <si>
    <t xml:space="preserve">Import the whole file in a single run. Issue ID and Blocked By only resolve within one import.</t>
  </si>
  <si>
    <t xml:space="preserve">Step 5</t>
  </si>
  <si>
    <t xml:space="preserve">Verify: 20 epics appear, and RT-18, RP-10, CH-10, WH-07 each show a long "is blocked by" list.</t>
  </si>
  <si>
    <t xml:space="preserve">Note</t>
  </si>
  <si>
    <t xml:space="preserve">Team-managed Jira projects do not expose Epic Link or Epic Name. Import into a company-managed project, or delete those two columns and set parents in bulk afterwards using the EP- prefix in each summary.</t>
  </si>
  <si>
    <t xml:space="preserve">Product</t>
  </si>
  <si>
    <t xml:space="preserve">Team</t>
  </si>
  <si>
    <t xml:space="preserve">Repository</t>
  </si>
  <si>
    <t xml:space="preserve">Surface</t>
  </si>
  <si>
    <t xml:space="preserve">Guard</t>
  </si>
  <si>
    <t xml:space="preserve">X-Client</t>
  </si>
  <si>
    <t xml:space="preserve">Delivery window</t>
  </si>
  <si>
    <t xml:space="preserve">Backend dependency</t>
  </si>
  <si>
    <t xml:space="preserve">Source brief</t>
  </si>
  <si>
    <t xml:space="preserve">Points</t>
  </si>
  <si>
    <t xml:space="preserve">Shared API client</t>
  </si>
  <si>
    <t xml:space="preserve">Platform Engineering</t>
  </si>
  <si>
    <t xml:space="preserve">packages/b2b-api-client (built first inside apps/platform-web, then extracted)</t>
  </si>
  <si>
    <t xml:space="preserve">Library consumed by all five products</t>
  </si>
  <si>
    <t xml:space="preserve">Not applicable — transport layer</t>
  </si>
  <si>
    <t xml:space="preserve">Set per consuming product</t>
  </si>
  <si>
    <t xml:space="preserve">A → C (tagged v0.1.0 by end of week C)</t>
  </si>
  <si>
    <t xml:space="preserve">SP-00 (GET /health, EP-CORE-001) · SP-01 (token guards)</t>
  </si>
  <si>
    <t xml:space="preserve">00-shared-api-client.md</t>
  </si>
  <si>
    <t xml:space="preserve">Retailer app</t>
  </si>
  <si>
    <t xml:space="preserve">Mobile</t>
  </si>
  <si>
    <t xml:space="preserve">apps/retailer</t>
  </si>
  <si>
    <t xml:space="preserve">Android / iOS</t>
  </si>
  <si>
    <t xml:space="preserve">app</t>
  </si>
  <si>
    <t xml:space="preserve">retailer-android · retailer-ios</t>
  </si>
  <si>
    <t xml:space="preserve">B (identity) → D (shop form, after SP-03)</t>
  </si>
  <si>
    <t xml:space="preserve">SP-01 (OTP + register) · SP-03 (/public/refs for the form)</t>
  </si>
  <si>
    <t xml:space="preserve">01-retailer-app.md — DOC-12A</t>
  </si>
  <si>
    <t xml:space="preserve">Field rep app</t>
  </si>
  <si>
    <t xml:space="preserve">apps/rep</t>
  </si>
  <si>
    <t xml:space="preserve">Android / iOS — a separate binary from the retailer app</t>
  </si>
  <si>
    <t xml:space="preserve">rep-android · rep-ios</t>
  </si>
  <si>
    <t xml:space="preserve">B (identity) → E (registration, after SP-04)</t>
  </si>
  <si>
    <t xml:space="preserve">SP-01 · SP-03 (activity types / zones) · SP-04 (channel invite id)</t>
  </si>
  <si>
    <t xml:space="preserve">02-rep-app.md — DOC-12B</t>
  </si>
  <si>
    <t xml:space="preserve">Channel dashboard</t>
  </si>
  <si>
    <t xml:space="preserve">Ops Web</t>
  </si>
  <si>
    <t xml:space="preserve">apps/channel-web</t>
  </si>
  <si>
    <t xml:space="preserve">Web, RTL</t>
  </si>
  <si>
    <t xml:space="preserve">channel</t>
  </si>
  <si>
    <t xml:space="preserve">channel-web</t>
  </si>
  <si>
    <t xml:space="preserve">B → C</t>
  </si>
  <si>
    <t xml:space="preserve">SP-01 (/channel/auth/* only)</t>
  </si>
  <si>
    <t xml:space="preserve">03-channel-dashboard.md — DOC-12C</t>
  </si>
  <si>
    <t xml:space="preserve">Warehouse web</t>
  </si>
  <si>
    <t xml:space="preserve">apps/warehouse-web</t>
  </si>
  <si>
    <t xml:space="preserve">Web or locked desktop browser, RTL, large hit targets</t>
  </si>
  <si>
    <t xml:space="preserve">warehouse</t>
  </si>
  <si>
    <t xml:space="preserve">warehouse-web</t>
  </si>
  <si>
    <t xml:space="preserve">SP-01 (POST /warehouse/auth/device-login only)</t>
  </si>
  <si>
    <t xml:space="preserve">04-warehouse-web.md — DOC-12D</t>
  </si>
  <si>
    <t xml:space="preserve">Platform admin</t>
  </si>
  <si>
    <t xml:space="preserve">Platform Dashboard</t>
  </si>
  <si>
    <t xml:space="preserve">apps/platform-web</t>
  </si>
  <si>
    <t xml:space="preserve">platform</t>
  </si>
  <si>
    <t xml:space="preserve">platform-web</t>
  </si>
  <si>
    <t xml:space="preserve">A → E (spans the whole layer)</t>
  </si>
  <si>
    <t xml:space="preserve">SP-01 account · SP-02 IAM · SP-03 refs · SP-04 channels</t>
  </si>
  <si>
    <t xml:space="preserve">05-platform-admin.md — DOC-12E + DOC-07</t>
  </si>
  <si>
    <t xml:space="preserve">Epic key</t>
  </si>
  <si>
    <t xml:space="preserve">Epic name</t>
  </si>
  <si>
    <t xml:space="preserve">Covers</t>
  </si>
  <si>
    <t xml:space="preserve">In scope</t>
  </si>
  <si>
    <t xml:space="preserve">Out of scope</t>
  </si>
  <si>
    <t xml:space="preserve">Sequencing constraints</t>
  </si>
  <si>
    <t xml:space="preserve">Manual walkthrough</t>
  </si>
  <si>
    <t xml:space="preserve">Planning note</t>
  </si>
  <si>
    <t xml:space="preserve">EP-CORE-NET</t>
  </si>
  <si>
    <t xml:space="preserve">Transport and errors</t>
  </si>
  <si>
    <t xml:space="preserve">Envelope client, error map, idempotency</t>
  </si>
  <si>
    <t xml:space="preserve">•  Envelope client, error map, header policy, secure token storage.
•  Idempotency store keyed on user intent rather than on the network request.
•  can(code) permission layer and public refs cache.
•  Automated guardrails: path allowlist and catalog-generated contract tests.</t>
  </si>
  <si>
    <t xml:space="preserve">•  Any screen logic or view state belonging to a single product.
•  Offline sync or a deferred request queue — not in L1.
•  Any handling of Layer 2+ paths even if the server answers them.</t>
  </si>
  <si>
    <t xml:space="preserve">•  FE-CORE-01 → 02 → 03 in order; each builds on the previous one.
•  FE-CORE-10 (allowlist) must merge before the end of week B, otherwise Layer 2 calls leak into main undetected.
•  The v0.1.0 tag is a gate: no product screen branch opens in any repository before it.
•  Governance: changes to the error map or header policy go through a PR on the package. Copying the code into a product repo instead of upgrading the package is a review rejection.</t>
  </si>
  <si>
    <t xml:space="preserve">1. Verified through the acceptance walkthroughs of the five consuming products.</t>
  </si>
  <si>
    <t xml:space="preserve">Create one project (L1-FE) and a component per product. Core issues are Task type because they produce no direct user value, and Highest priority because they block all five teams. FE-CORE-01 … 05 keep the IDs used by the product briefs; FE-CORE-10 and above are additional infrastructure introduced by this backlog.</t>
  </si>
  <si>
    <t xml:space="preserve">EP-CORE-SEC</t>
  </si>
  <si>
    <t xml:space="preserve">Identity and permissions</t>
  </si>
  <si>
    <t xml:space="preserve">Headers, token store, can()</t>
  </si>
  <si>
    <t xml:space="preserve">EP-CORE-PLT</t>
  </si>
  <si>
    <t xml:space="preserve">Platform and guardrails</t>
  </si>
  <si>
    <t xml:space="preserve">Refs cache, i18n, money, CI, allowlist, contract tests</t>
  </si>
  <si>
    <t xml:space="preserve">EP-RT-A</t>
  </si>
  <si>
    <t xml:space="preserve">Identity and sign-in</t>
  </si>
  <si>
    <t xml:space="preserve">FE-RT-SPLASH, FE-RT-PHONE, FE-RT-OTP</t>
  </si>
  <si>
    <t xml:space="preserve">•  Splash routing, phone screen and OTP screen.
•  The full shop registration form bound to GET /public/refs.
•  Waiting, rejected and empty-home screens.
•  Session router on cold start and logout with a full local wipe.</t>
  </si>
  <si>
    <t xml:space="preserve">•  Retailer home feed, favourites, cart, orders, tracking, payments.
•  points and tier (SP-15) even when catalog examples include them.
•  Product tabs (Home / Orders / Account) — account in L1 is phone display plus logout.
•  Legal product screens, offline sync, GET /public/app-config.</t>
  </si>
  <si>
    <t xml:space="preserve">•  RT-01 first: the routing graph determines everything built after it.
•  RT-02 → RT-06 land in week B as soon as SP-01 is available.
•  RT-07 → RT-10 are blocked until GET /public/refs ships in SP-03. The shop form cannot close without it.
•  RT-18 does not close until all four walkthrough scenarios have been run manually and recorded.</t>
  </si>
  <si>
    <t xml:space="preserve">1. Invalid phone returns an Arabic 422 painted on the field.
2. A new number completes OTP, then the form, and lands on Waiting.
3. An existing approved shop completes OTP and lands on Empty home.
4. Logout returns to Phone, and the OS back gesture does not restore the register form with a live session.</t>
  </si>
  <si>
    <t xml:space="preserve">Component apps/retailer. Identity issues are Highest because they open the acceptance journey; the registration form is High because it is blocked on SP-03.</t>
  </si>
  <si>
    <t xml:space="preserve">EP-RT-B</t>
  </si>
  <si>
    <t xml:space="preserve">Shop file</t>
  </si>
  <si>
    <t xml:space="preserve">FE-RT-REGISTER and /public/refs</t>
  </si>
  <si>
    <t xml:space="preserve">EP-RT-C</t>
  </si>
  <si>
    <t xml:space="preserve">Lifecycle</t>
  </si>
  <si>
    <t xml:space="preserve">FE-RT-WAIT, FE-RT-SESSION, FE-RT-HOME-EMPTY, FE-RT-LOGOUT</t>
  </si>
  <si>
    <t xml:space="preserve">EP-RT-D</t>
  </si>
  <si>
    <t xml:space="preserve">Packaging and acceptance</t>
  </si>
  <si>
    <t xml:space="preserve">Build, distribution, manual walkthrough</t>
  </si>
  <si>
    <t xml:space="preserve">EP-RP-A</t>
  </si>
  <si>
    <t xml:space="preserve">Shared package and setup</t>
  </si>
  <si>
    <t xml:space="preserve">Identity flow extraction, separate binary</t>
  </si>
  <si>
    <t xml:space="preserve">•  Extraction of the identity flow into a shared package, then consumption of it.
•  Invite deep link capture of channel_id and a locked channel field.
•  Rep registration form with multi-zone selection.
•  Waiting, empty home, session and logout.</t>
  </si>
  <si>
    <t xml:space="preserve">•  GET /app/rep/products, customers, zone shops, carts, assignments, handover, wallet, live location.
•  Any channel list or search — GET /public/refs does not list channels (REQ-IN-06).
•  Any in-app switch to the retailer product.</t>
  </si>
  <si>
    <t xml:space="preserve">•  RP-01 comes first: extracting the shared identity package is an architectural issue, not an optimisation.
•  RP-04 → RP-07 are blocked until SP-04, because channel_id comes from an invite link issued after the platform creates the channel.
•  No issue may render a channel list. The only paths are the invite link and the guidance screen.</t>
  </si>
  <si>
    <t xml:space="preserve">1. Submit is impossible without channel_id.
2. Zones outside the channel coverage keep the form and show the server field error.
3. Invite → OTP → Waiting completes without a platform token on the device.</t>
  </si>
  <si>
    <t xml:space="preserve">The low estimate for this product is conditional on RP-01. If it is dropped under schedule pressure the total rises to roughly 35 points and two divergent copies of the OTP error logic appear.</t>
  </si>
  <si>
    <t xml:space="preserve">EP-RP-B</t>
  </si>
  <si>
    <t xml:space="preserve">Invite and registration</t>
  </si>
  <si>
    <t xml:space="preserve">Deep link, channel_id, zone_ids</t>
  </si>
  <si>
    <t xml:space="preserve">EP-RP-C</t>
  </si>
  <si>
    <t xml:space="preserve">Lifecycle and acceptance</t>
  </si>
  <si>
    <t xml:space="preserve">Waiting, empty home, session, walkthrough</t>
  </si>
  <si>
    <t xml:space="preserve">EP-CH-A</t>
  </si>
  <si>
    <t xml:space="preserve">Sign-in and channel selection</t>
  </si>
  <si>
    <t xml:space="preserve">FE-CH-PHONE, FE-CH-OTP, FE-CH-PICK</t>
  </si>
  <si>
    <t xml:space="preserve">•  Phone and OTP sign-in on the channel auth contract.
•  Channel picker and X-Channel-Id pinning for multi-channel members.
•  Shell with a sidebar generated from permissions[].
•  Empty office and local sign-out.</t>
  </si>
  <si>
    <t xml:space="preserve">•  /channel/brands, /channel/products, orders, stock, finance, dashboard widgets.
•  /catalog, /orders and /reps routes — disabled nav labels only, with no page and no fetch.
•  Any chart or GMV figure on /home.</t>
  </si>
  <si>
    <t xml:space="preserve">•  CH-01 sets the scope ceiling: four routes, everything else 404.
•  CH-02 depends on the contract test in FE-CORE-14 to prevent purpose from being sent.
•  CH-09 is a closing condition for the whole product.</t>
  </si>
  <si>
    <t xml:space="preserve">1. A manager completes OTP, picks a channel when they have two, lands on an empty office and signs out.
2. DevTools shows zero calls to /channel/products or /channel/brands during the journey.</t>
  </si>
  <si>
    <t xml:space="preserve">The primary risk on this product is scope creep into "coming soon" pages that call Layer 2 APIs. CH-09 exists specifically to kill that risk automatically, and the epic does not close without it.</t>
  </si>
  <si>
    <t xml:space="preserve">EP-CH-B</t>
  </si>
  <si>
    <t xml:space="preserve">Shell and office</t>
  </si>
  <si>
    <t xml:space="preserve">FE-CH-SHELL, /home, FE-CH-LOGOUT</t>
  </si>
  <si>
    <t xml:space="preserve">EP-CH-C</t>
  </si>
  <si>
    <t xml:space="preserve">Guardrails and acceptance</t>
  </si>
  <si>
    <t xml:space="preserve">Network siege test, walkthrough</t>
  </si>
  <si>
    <t xml:space="preserve">EP-WH-A</t>
  </si>
  <si>
    <t xml:space="preserve">Device provisioning and lock</t>
  </si>
  <si>
    <t xml:space="preserve">device_token, FE-WH-PIN, device login</t>
  </si>
  <si>
    <t xml:space="preserve">•  Reading device_token from installed configuration.
•  PIN pad with exactly four digits and gloved-hand hit targets.
•  Device login, warehouse name display, permissions persistence.
•  Kiosk behaviour and sign-out that keeps the device token.</t>
  </si>
  <si>
    <t xml:space="preserve">•  Picking lists, packing, handover, inbound returns, inventory adjustments.
•  Any device registration UI — provisioning is an ops task.
•  /queues and /picking routes; any call to GET /warehouse/queues.</t>
  </si>
  <si>
    <t xml:space="preserve">•  WH-01 comes first: without a defined path for planting device_token the remaining screens have no meaning.
•  WH-06 lands before the walkthrough because acceptance runs on a real terminal in a warehouse environment.</t>
  </si>
  <si>
    <t xml:space="preserve">1. A correct PIN shows the warehouse name on home.
2. A wrong PIN keeps the user on the pad with no information about which factor failed.
3. The router contains no queue route and the product contains no device-registration form.</t>
  </si>
  <si>
    <t xml:space="preserve">This is the smallest product in the layer but the most security-sensitive: the device token is physical and shared. WH-01 and WH-03 are Highest priority for that reason.</t>
  </si>
  <si>
    <t xml:space="preserve">EP-WH-B</t>
  </si>
  <si>
    <t xml:space="preserve">Floor and acceptance</t>
  </si>
  <si>
    <t xml:space="preserve">FE-WH-HOME, sign-out, kiosk mode, walkthrough</t>
  </si>
  <si>
    <t xml:space="preserve">EP-AD-SHELL</t>
  </si>
  <si>
    <t xml:space="preserve">Shell and governing components</t>
  </si>
  <si>
    <t xml:space="preserve">Router, generic table, password confirm, reason modal, dual approval, background jobs</t>
  </si>
  <si>
    <t xml:space="preserve">•  Login, TOTP, boot, logout and the five tabs of /me.
•  Full IAM: permission catalog, roles with dual approval, assignments, simulation, temp grants, SoD, approval inbox, audit, access review.
•  Seven reference entities, FX rates and import with dry-run preview.
•  Channel lifecycle: list, create and provisioning, card tabs, join applications.</t>
  </si>
  <si>
    <t xml:space="preserve">•  GET /platform/dashboard and any operations chart (SP-16).
•  Notification campaign builder (SP-14), plan SKU catalog and platform team CRUD (SP-17).
•  Impersonation, and any SoD rule editor — SoD is read-only in L1.</t>
  </si>
  <si>
    <t xml:space="preserve">•  EP-AD-SHELL closes before any SP-02, SP-03 or SP-04 issue starts. Every later screen consumes the generic table, the reason modal, the password-confirm modal and the dual-approval handler.
•  AD-03 precedes every crit route: AD-15, AD-69, AD-76 and AD-77.
•  AD-40 (reference factory) precedes AD-41 … AD-47. Starting with a single entity before the factory creates immediate technical debt and roughly triples the SP-03 cost.
•  AD-65 is a closing condition for AD-64: creation is not done while the channel sits in provisioning.
•  Any issue that renders an operational figure prints the server value verbatim. Derivation, estimation or a decorative sparkline is a review rejection.</t>
  </si>
  <si>
    <t xml:space="preserve">1. Login → 2FA → channel list, empty or seeded.
2. Create a governorate and a zone.
3. Create a channel: the UI shows provisioning then active, or offers retry.
4. Create a role that stays draft until a second user approves it.
5. Disable a zone: reason required and impact counts shown before the second confirm.
6. No dashboard-charts route exists anywhere in the app.</t>
  </si>
  <si>
    <t xml:space="preserve">This product consumes roughly 57% of the layer points. Order the epics exactly as listed, and do not allow an issue from EP-AD-REFS or EP-AD-CH to be pulled before EP-AD-SHELL closes.</t>
  </si>
  <si>
    <t xml:space="preserve">EP-AD-ACC</t>
  </si>
  <si>
    <t xml:space="preserve">SP-01 auth and my account</t>
  </si>
  <si>
    <t xml:space="preserve">Login, 2FA, boot, logout, /me tabs</t>
  </si>
  <si>
    <t xml:space="preserve">EP-AD-IAM</t>
  </si>
  <si>
    <t xml:space="preserve">SP-02 access and audit</t>
  </si>
  <si>
    <t xml:space="preserve">Permissions, roles, assignments, simulate, inbox, audit, review</t>
  </si>
  <si>
    <t xml:space="preserve">EP-AD-REFS</t>
  </si>
  <si>
    <t xml:space="preserve">SP-03 references</t>
  </si>
  <si>
    <t xml:space="preserve">Reference factory, seven entities, FX, import</t>
  </si>
  <si>
    <t xml:space="preserve">EP-AD-CH</t>
  </si>
  <si>
    <t xml:space="preserve">SP-04 channels</t>
  </si>
  <si>
    <t xml:space="preserve">List, create and provisioning, card tabs, join applications</t>
  </si>
  <si>
    <t xml:space="preserve">Key</t>
  </si>
  <si>
    <t xml:space="preserve">Type</t>
  </si>
  <si>
    <t xml:space="preserve">Title</t>
  </si>
  <si>
    <t xml:space="preserve">Epic</t>
  </si>
  <si>
    <t xml:space="preserve">Component</t>
  </si>
  <si>
    <t xml:space="preserve">Screen ID</t>
  </si>
  <si>
    <t xml:space="preserve">API contract</t>
  </si>
  <si>
    <t xml:space="preserve">Requirements</t>
  </si>
  <si>
    <t xml:space="preserve">Error handling</t>
  </si>
  <si>
    <t xml:space="preserve">Acceptance criteria</t>
  </si>
  <si>
    <t xml:space="preserve">Priority</t>
  </si>
  <si>
    <t xml:space="preserve">Sprint</t>
  </si>
  <si>
    <t xml:space="preserve">Backend gate</t>
  </si>
  <si>
    <t xml:space="preserve">Blocked by</t>
  </si>
  <si>
    <t xml:space="preserve">Labels</t>
  </si>
  <si>
    <t xml:space="preserve">FE-CORE-01</t>
  </si>
  <si>
    <t xml:space="preserve">Task</t>
  </si>
  <si>
    <t xml:space="preserve">Envelope client and error map</t>
  </si>
  <si>
    <t xml:space="preserve">api-client</t>
  </si>
  <si>
    <t xml:space="preserve">Not screen-bound</t>
  </si>
  <si>
    <t xml:space="preserve">GET /api/v1/health (EP-CORE-001) · error contract e in the catalog</t>
  </si>
  <si>
    <t xml:space="preserve">1. baseURL is fixed to /api/v1 with per-environment host configuration.
2. On success, expose data to the UI only; retain meta.server_time for clock-skew correction.
3. On failure, surface error.message. A raw Laravel validation JSON must never reach a component.
4. Implement one central map from error.code to client behaviour covering all twelve codes in the shared kit.
5. Timeouts, GET-only automatic retry, and request cancellation on screen exit.</t>
  </si>
  <si>
    <t xml:space="preserve">•  validation_failed → inline field errors (422); rate_limited → disable submit, honour resend_after / Retry-After.
•  unauthenticated and token_revoked → drop token, route to login.
•  otp_invalid → clear the OTP boxes, never auto-request a new OTP.
•  insufficient_permission → toast and hide the action; requires_password_confirm → platform password modal then replay.
•  sod_violation → explain the conflict, do not resubmit blindly.
•  conflict / illegal_transition / idempotency_key_conflict → stop and show the server message.
•  idempotency_key_required → treat as a client bug: log it and fail the production build.
•  operation_in_progress → wait, then retry with the same key.</t>
  </si>
  <si>
    <t xml:space="preserve">☐  GET /health returns data.status = ok through the client.
☐  No envelope field (meta, success) reaches a UI component.
☐  A unit test exists for each of the twelve error codes.
☐  Automatic retry never applies to POST, PUT, PATCH or DELETE.</t>
  </si>
  <si>
    <t xml:space="preserve">Toast and modal presentation components — those live in FE-CORE-12.</t>
  </si>
  <si>
    <t xml:space="preserve">Highest</t>
  </si>
  <si>
    <t xml:space="preserve">Week A</t>
  </si>
  <si>
    <t xml:space="preserve">SP-00</t>
  </si>
  <si>
    <t xml:space="preserve">None</t>
  </si>
  <si>
    <t xml:space="preserve">L1, core, http, errors</t>
  </si>
  <si>
    <t xml:space="preserve">FE-CORE-02</t>
  </si>
  <si>
    <t xml:space="preserve">Header injection and secure token store</t>
  </si>
  <si>
    <t xml:space="preserve">All authenticated paths</t>
  </si>
  <si>
    <t xml:space="preserve">1. Inject Accept, Accept-Language, X-Client, X-App-Version on every request.
2. Inject X-Device-Id on mobile and warehouse surfaces: a stable UUID generated once per install.
3. Inject Authorization: Bearer {token} after login, and X-Channel-Id on the channel dashboard when the user belongs to more than one channel.
4. Store the token in Keychain / Keystore on mobile and in restricted storage on web.
5. Exempt from Bearer: GET /health and GET /public/refs.
6. Block the forbidden paths /api/v1/auth/* and /admin/channels at the client layer.</t>
  </si>
  <si>
    <t xml:space="preserve">No contract-specific codes. Use the shared error map in FE-CORE-01.</t>
  </si>
  <si>
    <t xml:space="preserve">☐  After logout no Bearer appears on any subsequent request.
☐  X-Device-Id is stable across application restarts and reinstall where the platform allows it.
☐  A call to a forbidden path throws at development time rather than reaching the network.</t>
  </si>
  <si>
    <t xml:space="preserve">Nothing beyond the product scope on the parent epic.</t>
  </si>
  <si>
    <t xml:space="preserve">L1, core, auth, headers</t>
  </si>
  <si>
    <t xml:space="preserve">FE-CORE-03</t>
  </si>
  <si>
    <t xml:space="preserve">Idempotency store tied to confirm buttons</t>
  </si>
  <si>
    <t xml:space="preserve">X-Idempotency-Key on POST / PUT / PATCH / DELETE</t>
  </si>
  <si>
    <t xml:space="preserve">1. One UUID per user intent (confirm tap), not per network request.
2. A retry after a dropped connection reuses the same key; a new confirm tap generates a new key.
3. Expose a small API, for example withIdempotency(intentId), that wraps the call.
4. Apply the shared-kit exemption list: public OTP request / verify / resend, platform login and 2FA, channel OTP, and warehouse device-login do not carry a key.
5. A write outside the exemption list must never leave the client without a key.</t>
  </si>
  <si>
    <t xml:space="preserve">☐  A dropped connection followed by a retry does not create a duplicate write when the key is reused.
☐  A second confirm tap produces a different UUID, observable in the request log.
☐  operation_in_progress retries with the same key after a short backoff.
☐  A non-exempt write attempted without a key fails loudly in development.</t>
  </si>
  <si>
    <t xml:space="preserve">Week B</t>
  </si>
  <si>
    <t xml:space="preserve">L1, core, idempotency</t>
  </si>
  <si>
    <t xml:space="preserve">FE-CORE-04</t>
  </si>
  <si>
    <t xml:space="preserve">can(code) permission layer</t>
  </si>
  <si>
    <t xml:space="preserve">permissions[] from session and login responses</t>
  </si>
  <si>
    <t xml:space="preserve">1. can(code) derived from the permissions[] persisted after sign-in.
2. Provide a &lt;Can&gt; wrapper component and a withPermission route guard.
3. Permissions refresh on session boot and on channel switch.</t>
  </si>
  <si>
    <t xml:space="preserve">☐  A control the user lacks permission for is absent from the tree or rendered disabled with a tooltip.
☐  A guarded route does not build its network call before the check runs.</t>
  </si>
  <si>
    <t xml:space="preserve">L1, core, iam</t>
  </si>
  <si>
    <t xml:space="preserve">FE-CORE-05</t>
  </si>
  <si>
    <t xml:space="preserve">Public refs cache keyed by sync_cursor</t>
  </si>
  <si>
    <t xml:space="preserve">GET /public/refs (EP-PB-001)</t>
  </si>
  <si>
    <t xml:space="preserve">1. Cache the response under its sync_cursor and send since= when a cursor exists.
2. Expose selectors for activity_types, root_categories, equipments, governorates and zones.
3. Invalidate on logout and on language change.
4. This path carries neither Bearer nor an idempotency key.</t>
  </si>
  <si>
    <t xml:space="preserve">☐  Changing the zone list on the server is reflected after a since= call.
☐  Refs are not fully re-downloaded on every cold start.
☐  Selecting a governorate filters zones by zone.governorate_id.</t>
  </si>
  <si>
    <t xml:space="preserve">High</t>
  </si>
  <si>
    <t xml:space="preserve">L1, core, refs</t>
  </si>
  <si>
    <t xml:space="preserve">FE-CORE-10</t>
  </si>
  <si>
    <t xml:space="preserve">Path allowlist guardrail</t>
  </si>
  <si>
    <t xml:space="preserve">ci</t>
  </si>
  <si>
    <t xml:space="preserve">L1 allowlist derived from the catalog</t>
  </si>
  <si>
    <t xml:space="preserve">1. Maintain an allowlist of the paths permitted in Layer 1.
2. Fail the test suite on any request outside it, including /api/v1/auth/*, /admin/channels and every path from SP-06 onward.
3. Print every path exercised during the run in the report.</t>
  </si>
  <si>
    <t xml:space="preserve">☐  Calling GET /channel/products or GET /warehouse/queues fails the build.
☐  The report lists all paths touched by the journey tests.</t>
  </si>
  <si>
    <t xml:space="preserve">L1, core, guardrail, ci</t>
  </si>
  <si>
    <t xml:space="preserve">FE-CORE-11</t>
  </si>
  <si>
    <t xml:space="preserve">i18n, RTL and integer money formatting</t>
  </si>
  <si>
    <t xml:space="preserve">decimals from the currency entity</t>
  </si>
  <si>
    <t xml:space="preserve">1. Amounts, limits and FX rate are transported and stored as integers exactly as the server sends them.
2. Display uses the currency decimals value; SYP renders with zero decimal places.
3. RTL is the default layout with an en switch available.
4. Accept-Language follows the active locale.</t>
  </si>
  <si>
    <t xml:space="preserve">☐  A value of 15000 in SYP renders as 15,000 with no fractional part.
☐  A type check proves no float exists on any money path.</t>
  </si>
  <si>
    <t xml:space="preserve">L1, core, i18n, money</t>
  </si>
  <si>
    <t xml:space="preserve">FE-CORE-12</t>
  </si>
  <si>
    <t xml:space="preserve">Shared state templates and toast system</t>
  </si>
  <si>
    <t xml:space="preserve">ui-kit</t>
  </si>
  <si>
    <t xml:space="preserve">—</t>
  </si>
  <si>
    <t xml:space="preserve">1. Provide Loading, Empty, Error and Offline templates with approved Arabic copy.
2. Provide a toast system and a base modal consumed by all five products.
3. The Error template renders envelope errors, not raw exceptions.</t>
  </si>
  <si>
    <t xml:space="preserve">☐  Every later screen consumes the template instead of writing its own state.
☐  The Offline state appears within two seconds of connection loss.</t>
  </si>
  <si>
    <t xml:space="preserve">L1, core, ui</t>
  </si>
  <si>
    <t xml:space="preserve">FE-CORE-13</t>
  </si>
  <si>
    <t xml:space="preserve">Repository scaffold and CI pipeline</t>
  </si>
  <si>
    <t xml:space="preserve">1. Strict types, lint, tests and a build target per product.
2. Publish the package internally under a semantic tag.
3. Block merges on a red pipeline.</t>
  </si>
  <si>
    <t xml:space="preserve">☐  A failing PR cannot be merged.
☐  The package is published as v0.1.0 and consumed by at least two repositories.</t>
  </si>
  <si>
    <t xml:space="preserve">L1, core, ci</t>
  </si>
  <si>
    <t xml:space="preserve">FE-CORE-14</t>
  </si>
  <si>
    <t xml:space="preserve">Contract tests generated from the catalog</t>
  </si>
  <si>
    <t xml:space="preserve">docs/api/catalog/*.php — field b</t>
  </si>
  <si>
    <t xml:space="preserve">1. Generate tests that compare the outgoing request body against field b in the catalog.
2. Cover extra keys, missing keys and wrong types.
3. Run the suite in CI on every PR.</t>
  </si>
  <si>
    <t xml:space="preserve">☐  Sending purpose to /channel/auth/request-otp fails the test.
☐  Adding a key absent from b fails the test.</t>
  </si>
  <si>
    <t xml:space="preserve">L1, core, contract-tests</t>
  </si>
  <si>
    <t xml:space="preserve">RT-01</t>
  </si>
  <si>
    <t xml:space="preserve">Story</t>
  </si>
  <si>
    <t xml:space="preserve">App scaffold and splash routing</t>
  </si>
  <si>
    <t xml:space="preserve">FE-RT-SPLASH</t>
  </si>
  <si>
    <t xml:space="preserve">GET /app/session (EP-CM-004) on cold start when a token exists</t>
  </si>
  <si>
    <t xml:space="preserve">1. Router exposes exactly six screens: Splash, Phone, OTP, Register, Waiting/Rejected, Empty home.
2. On cold start with no token, route to Phone.
3. On cold start with a token, call the session router and branch per §3.6 of the brief.
4. Five splash branches: no token, registration-ability token, pending_review, rejected, full token with active status.</t>
  </si>
  <si>
    <t xml:space="preserve">☐  Each of the five branches is covered by a routing test.
☐  No product, cart or catalog route exists in the router table.</t>
  </si>
  <si>
    <t xml:space="preserve">SP-01</t>
  </si>
  <si>
    <t xml:space="preserve">FE-CORE-01, FE-CORE-02, FE-CORE-03, FE-CORE-04, FE-CORE-05</t>
  </si>
  <si>
    <t xml:space="preserve">L1, retailer, routing</t>
  </si>
  <si>
    <t xml:space="preserve">RT-02</t>
  </si>
  <si>
    <t xml:space="preserve">Phone screen and Syrian number field</t>
  </si>
  <si>
    <t xml:space="preserve">FE-RT-PHONE</t>
  </si>
  <si>
    <t xml:space="preserve">1. A single phone field accepting 09XXXXXXXX and +9639XXXXXXXX.
2. The value is sent exactly as typed; the server performs normalisation.
3. One primary action: send code.</t>
  </si>
  <si>
    <t xml:space="preserve">☐  No client-side normalisation is applied to the number.
☐  The button stays disabled until the field reaches its minimum length.</t>
  </si>
  <si>
    <t xml:space="preserve">L1, retailer, auth</t>
  </si>
  <si>
    <t xml:space="preserve">RT-03</t>
  </si>
  <si>
    <t xml:space="preserve">Request OTP integration</t>
  </si>
  <si>
    <t xml:space="preserve">POST /public/auth/request-otp · EP-CM-001</t>
  </si>
  <si>
    <t xml:space="preserve">1. Body: { phone, purpose, client } with client set to retailer-android or retailer-ios.
2. purpose is register from a sign-up entry and login from a sign-in entry; a single-screen app sends login and relies on is_new_user.
3. On 200 store otp_id, expires_in (300), resend_after (60) and channel_used, then route to OTP.
4. This path is exempt from the idempotency key per the shared kit.</t>
  </si>
  <si>
    <t xml:space="preserve">•  422 → errors under the phone field, in Arabic when Accept-Language is ar.
•  429 rate_limited → disable the button and start the countdown.</t>
  </si>
  <si>
    <t xml:space="preserve">☐  A non-Syrian number produces a 422 on the field in Arabic.
☐  A 429 disables the submit button and honours resend_after.</t>
  </si>
  <si>
    <t xml:space="preserve">L1, retailer, otp</t>
  </si>
  <si>
    <t xml:space="preserve">RT-04</t>
  </si>
  <si>
    <t xml:space="preserve">OTP screen and resend countdown</t>
  </si>
  <si>
    <t xml:space="preserve">FE-RT-OTP</t>
  </si>
  <si>
    <t xml:space="preserve">1. Six numeric boxes; a paste longer than six characters is ignored.
2. Countdown starts from resend_after and reveals the resend action at zero.
3. The countdown survives backgrounding and does not reset on re-render.</t>
  </si>
  <si>
    <t xml:space="preserve">☐  Backgrounding and returning resumes the countdown at the correct value.
☐  The resend action is unavailable until the countdown reaches zero.</t>
  </si>
  <si>
    <t xml:space="preserve">RT-05</t>
  </si>
  <si>
    <t xml:space="preserve">Resend OTP and channel preference</t>
  </si>
  <si>
    <t xml:space="preserve">POST /public/auth/resend-otp · EP-CM-003</t>
  </si>
  <si>
    <t xml:space="preserve">1. Body: { otp_id, prefer_channel } with whatsapp as the default.
2. The user may switch to sms; the choice is explicit, never automatic.</t>
  </si>
  <si>
    <t xml:space="preserve">☐  No automatic resend occurs under any condition.
☐  Switching to sms is reflected in the request body.</t>
  </si>
  <si>
    <t xml:space="preserve">RT-06</t>
  </si>
  <si>
    <t xml:space="preserve">Verify OTP and new-user branch</t>
  </si>
  <si>
    <t xml:space="preserve">POST /public/auth/verify-otp · EP-CM-002</t>
  </si>
  <si>
    <t xml:space="preserve">1. Body: { otp_id, code, device_id, device_name, platform } where device_id is X-Device-Id.
2. On 200 persist token in the secure store.
3. If is_new_user is true or profile_completed is false, route to Register; otherwise hand control to the session router.</t>
  </si>
  <si>
    <t xml:space="preserve">•  401 otp_invalid → clear the boxes and do not request a new OTP automatically.</t>
  </si>
  <si>
    <t xml:space="preserve">☐  otp_invalid clears the boxes and triggers no follow-up request.
☐  The token is written to the secure store, not to volatile memory.</t>
  </si>
  <si>
    <t xml:space="preserve">RT-07</t>
  </si>
  <si>
    <t xml:space="preserve">Load public refs and derive zones</t>
  </si>
  <si>
    <t xml:space="preserve">FE-RT-REGISTER</t>
  </si>
  <si>
    <t xml:space="preserve">GET /public/refs · EP-PB-001</t>
  </si>
  <si>
    <t xml:space="preserve">1. Fetch refs before painting the register form.
2. Bind active activity_types, root_categories, equipments and governorates.
3. Derive zones by matching zone.governorate_id against the selected governorate.</t>
  </si>
  <si>
    <t xml:space="preserve">☐  Changing the governorate clears the selected zone immediately.
☐  The form renders from cache on a second visit without a network call.</t>
  </si>
  <si>
    <t xml:space="preserve">Week D</t>
  </si>
  <si>
    <t xml:space="preserve">SP-03</t>
  </si>
  <si>
    <t xml:space="preserve">L1, retailer, refs</t>
  </si>
  <si>
    <t xml:space="preserve">RT-08</t>
  </si>
  <si>
    <t xml:space="preserve">Shop registration form</t>
  </si>
  <si>
    <t xml:space="preserve">Field set of EP-RT-001</t>
  </si>
  <si>
    <t xml:space="preserve">1. Required: owner_name, shop_name, activity_type_id, category_ids (at least one), governorate_id, zone_id.
2. Optional: equipment_ids, address.
3. Categories are multi-select; where the activity type carries suggestions, show them first.
4. The screen opens only with an app token carrying the registration ability; without a token, route back to Phone.
5. No email field and no password field.</t>
  </si>
  <si>
    <t xml:space="preserve">☐  Submit is impossible with zero categories selected.
☐  The zone list only ever contains zones of the selected governorate.
☐  Opening the screen without a registration token redirects to Phone.</t>
  </si>
  <si>
    <t xml:space="preserve">Shop photo or document upload — not part of L1.</t>
  </si>
  <si>
    <t xml:space="preserve">L1, retailer, register</t>
  </si>
  <si>
    <t xml:space="preserve">RT-09</t>
  </si>
  <si>
    <t xml:space="preserve">Optional map pin and GPS permission</t>
  </si>
  <si>
    <t xml:space="preserve">lat and lng in EP-RT-001</t>
  </si>
  <si>
    <t xml:space="preserve">1. Request location permission with a clear rationale and fill lat / lng when granted.
2. Denial must never block submission.</t>
  </si>
  <si>
    <t xml:space="preserve">☐  Denying the permission still allows the form to be submitted.
☐  lat and lng are omitted rather than sent as zeros when no fix exists.</t>
  </si>
  <si>
    <t xml:space="preserve">Medium</t>
  </si>
  <si>
    <t xml:space="preserve">L1, retailer, gps</t>
  </si>
  <si>
    <t xml:space="preserve">RT-10</t>
  </si>
  <si>
    <t xml:space="preserve">Submit registration and swap the token</t>
  </si>
  <si>
    <t xml:space="preserve">POST /app/retailer/register · EP-RT-001 · Bearer + idempotency</t>
  </si>
  <si>
    <t xml:space="preserve">1. Send with Bearer and one idempotency key per confirm tap.
2. On 200 replace the stored token with data.token and route to Waiting with status pending_review.</t>
  </si>
  <si>
    <t xml:space="preserve">•  422 (for example zone not in governorate) → keep the form populated and render details on the offending fields.</t>
  </si>
  <si>
    <t xml:space="preserve">☐  A 422 keeps the form state intact and paints details.
☐  A retry after a dropped connection does not create two shop profiles.</t>
  </si>
  <si>
    <t xml:space="preserve">RT-08, FE-CORE-03</t>
  </si>
  <si>
    <t xml:space="preserve">RT-11</t>
  </si>
  <si>
    <t xml:space="preserve">Waiting screen and status refresh</t>
  </si>
  <si>
    <t xml:space="preserve">FE-RT-WAIT</t>
  </si>
  <si>
    <t xml:space="preserve">GET /app/session · EP-CM-004</t>
  </si>
  <si>
    <t xml:space="preserve">1. Static copy for pending_review, the phone number, a refresh action and logout.
2. Refresh calls the session router; it never re-submits registration.</t>
  </si>
  <si>
    <t xml:space="preserve">☐  Refresh triggers a session call and nothing else.
☐  No operational widget or fabricated counter appears on the screen.</t>
  </si>
  <si>
    <t xml:space="preserve">Week C</t>
  </si>
  <si>
    <t xml:space="preserve">RT-13</t>
  </si>
  <si>
    <t xml:space="preserve">L1, retailer, lifecycle</t>
  </si>
  <si>
    <t xml:space="preserve">RT-12</t>
  </si>
  <si>
    <t xml:space="preserve">Rejected screen</t>
  </si>
  <si>
    <t xml:space="preserve">rejected status from the session</t>
  </si>
  <si>
    <t xml:space="preserve">1. Show rejection copy when the session provides it.
2. Static WhatsApp support text is allowed as an operational contact route.</t>
  </si>
  <si>
    <t xml:space="preserve">☐  No edit form and no silent re-registration on the same token.</t>
  </si>
  <si>
    <t xml:space="preserve">Session router</t>
  </si>
  <si>
    <t xml:space="preserve">FE-RT-SESSION</t>
  </si>
  <si>
    <t xml:space="preserve">1. Call the session endpoint whenever a token exists.
2. Route table: 401 → Phone; profile_completed false → Register; pending profile → Waiting; complete and active → Empty home.
3. Store feature_flags, sync_cursor and legal without building legal or offline products.
4. When requires_legal_accept is true, a blocking copy screen is sufficient — call no additional legal API.</t>
  </si>
  <si>
    <t xml:space="preserve">☐  requires_legal_accept renders blocking copy and issues no extra API call.
☐  points and tier are never displayed in L1.</t>
  </si>
  <si>
    <t xml:space="preserve">L1, retailer, session</t>
  </si>
  <si>
    <t xml:space="preserve">RT-14</t>
  </si>
  <si>
    <t xml:space="preserve">Empty home</t>
  </si>
  <si>
    <t xml:space="preserve">FE-RT-HOME-EMPTY</t>
  </si>
  <si>
    <t xml:space="preserve">1. Shop name plus copy explaining that products appear after approval and catalog (Layer 2).</t>
  </si>
  <si>
    <t xml:space="preserve">☐  No placeholder product grid, no search bar, one surface only.</t>
  </si>
  <si>
    <t xml:space="preserve">L1, retailer, home</t>
  </si>
  <si>
    <t xml:space="preserve">RT-15</t>
  </si>
  <si>
    <t xml:space="preserve">Logout and local wipe</t>
  </si>
  <si>
    <t xml:space="preserve">FE-RT-LOGOUT</t>
  </si>
  <si>
    <t xml:space="preserve">POST /app/auth/logout · EP-CM-005</t>
  </si>
  <si>
    <t xml:space="preserve">1. Wipe the token, the refs cache and any local files per REQ-CM-056.
2. Perform the local wipe even when the network call fails.</t>
  </si>
  <si>
    <t xml:space="preserve">☐  A failed logout request still clears local state.
☐  A storage inspection after logout shows no token residue.</t>
  </si>
  <si>
    <t xml:space="preserve">RT-16</t>
  </si>
  <si>
    <t xml:space="preserve">Back-stack guard</t>
  </si>
  <si>
    <t xml:space="preserve">1. The OS back gesture must not restore the register or OTP screen after logout or after the journey completes.</t>
  </si>
  <si>
    <t xml:space="preserve">☐  A test on a physical Android device proves Register is unreachable via back after logout.</t>
  </si>
  <si>
    <t xml:space="preserve">RT-17</t>
  </si>
  <si>
    <t xml:space="preserve">Packaging and internal distribution</t>
  </si>
  <si>
    <t xml:space="preserve">1. Set X-Client per platform and derive X-App-Version from the build.
2. Stand up an internal test channel (TestFlight and Android internal distribution).</t>
  </si>
  <si>
    <t xml:space="preserve">☐  Both builds send retailer-android and retailer-ios correctly.
☐  The version header matches the build number.</t>
  </si>
  <si>
    <t xml:space="preserve">L1, retailer, release</t>
  </si>
  <si>
    <t xml:space="preserve">RT-18</t>
  </si>
  <si>
    <t xml:space="preserve">Recorded acceptance walkthrough</t>
  </si>
  <si>
    <t xml:space="preserve">1. Execute the four scenarios in the product definition of done.
2. Record each one and note the EP-ID used and the observed response.</t>
  </si>
  <si>
    <t xml:space="preserve">☐  A screen recording or signed manual checklist is attached to the issue.
☐  All four scenarios pass without a workaround.</t>
  </si>
  <si>
    <t xml:space="preserve">RT-01, RT-02, RT-03, RT-04, RT-05, RT-06, RT-07, RT-08, RT-09, RT-10, RT-11, RT-12, RT-13, RT-14, RT-15, RT-16, RT-17</t>
  </si>
  <si>
    <t xml:space="preserve">L1, retailer, qa</t>
  </si>
  <si>
    <t xml:space="preserve">RP-01</t>
  </si>
  <si>
    <t xml:space="preserve">Extract the shared identity flow package</t>
  </si>
  <si>
    <t xml:space="preserve">packages/b2b-auth-flow</t>
  </si>
  <si>
    <t xml:space="preserve">FE-RP-PHONE · FE-RP-OTP</t>
  </si>
  <si>
    <t xml:space="preserve">EP-CM-001 / EP-CM-002 / EP-CM-003</t>
  </si>
  <si>
    <t xml:space="preserve">1. Move the phone screen, OTP screen, countdown and error handling out of the retailer app into a configurable package.
2. Configuration points: client value, purpose, post-verify destination, copy.
3. The retailer app consumes the package rather than keeping a private copy.</t>
  </si>
  <si>
    <t xml:space="preserve">☐  The retailer app passes its four walkthrough scenarios after extraction with no regression.
☐  Test coverage is preserved or improved.
☐  No duplicate OTP logic exists in either repository.</t>
  </si>
  <si>
    <t xml:space="preserve">L1, rep, refactor, shared</t>
  </si>
  <si>
    <t xml:space="preserve">RP-02</t>
  </si>
  <si>
    <t xml:space="preserve">Stand up the separate rep binary</t>
  </si>
  <si>
    <t xml:space="preserve">1. Separate icon, bundle identifier and visual identity.
2. X-Client set to rep-android or rep-ios.
3. No in-session switch between retailer and rep.</t>
  </si>
  <si>
    <t xml:space="preserve">☐  Both builds send the rep client value.
☐  No route exists for switching product roles.</t>
  </si>
  <si>
    <t xml:space="preserve">L1, rep, setup</t>
  </si>
  <si>
    <t xml:space="preserve">RP-03</t>
  </si>
  <si>
    <t xml:space="preserve">Compose the phone and OTP flow</t>
  </si>
  <si>
    <t xml:space="preserve">EP-CM-001 · EP-CM-002 · EP-CM-003</t>
  </si>
  <si>
    <t xml:space="preserve">1. Compose the shared flow with rep configuration and no new logic.
2. Verify sends device_id, device_name and platform as in the retailer app.</t>
  </si>
  <si>
    <t xml:space="preserve">☐  Registering the same phone under a second kind surfaces the server rejection message verbatim.</t>
  </si>
  <si>
    <t xml:space="preserve">L1, rep, otp</t>
  </si>
  <si>
    <t xml:space="preserve">RP-04</t>
  </si>
  <si>
    <t xml:space="preserve">Invite deep link and channel_id capture</t>
  </si>
  <si>
    <t xml:space="preserve">FE-RP-REGISTER</t>
  </si>
  <si>
    <t xml:space="preserve">b2b-rep://register?channel_id={id} (optional channel_name)</t>
  </si>
  <si>
    <t xml:space="preserve">1. Handle the b2b-rep:// scheme and capture channel_id, plus channel_name for display when present.
2. The channel field is locked and cannot be changed by the user.
3. The link works when the app is closed and when it is backgrounded.</t>
  </si>
  <si>
    <t xml:space="preserve">☐  The channel field is non-editable in every state.
☐  Cold start and warm start from the link both reach the register form with the id applied.</t>
  </si>
  <si>
    <t xml:space="preserve">Week E</t>
  </si>
  <si>
    <t xml:space="preserve">SP-04</t>
  </si>
  <si>
    <t xml:space="preserve">L1, rep, deeplink</t>
  </si>
  <si>
    <t xml:space="preserve">RP-05</t>
  </si>
  <si>
    <t xml:space="preserve">No-invite guidance screen</t>
  </si>
  <si>
    <t xml:space="preserve">1. When the register screen is opened without channel_id, show copy only: use the invite link from your company.
2. No channel search, no channel list, no fetch.</t>
  </si>
  <si>
    <t xml:space="preserve">☐  Zero calls to /platform/channels or any channel lookup, enforced by FE-CORE-10.</t>
  </si>
  <si>
    <t xml:space="preserve">L1, rep, guardrail</t>
  </si>
  <si>
    <t xml:space="preserve">RP-06</t>
  </si>
  <si>
    <t xml:space="preserve">Rep registration form</t>
  </si>
  <si>
    <t xml:space="preserve">1. Required: name, supply_channel_id (locked, from the invite), activity_type_id, zone_ids with at least one entry.
2. Optional: note.
3. Activity types and zones come from public refs only.</t>
  </si>
  <si>
    <t xml:space="preserve">☐  Submit is impossible with an empty zone selection.
☐  No source other than /public/refs populates the zone list.</t>
  </si>
  <si>
    <t xml:space="preserve">RP-04, FE-CORE-05</t>
  </si>
  <si>
    <t xml:space="preserve">L1, rep, register</t>
  </si>
  <si>
    <t xml:space="preserve">RP-07</t>
  </si>
  <si>
    <t xml:space="preserve">Submit registration and handle coverage rejection</t>
  </si>
  <si>
    <t xml:space="preserve">POST /app/rep/register · EP-RP-001 · Bearer + idempotency</t>
  </si>
  <si>
    <t xml:space="preserve">1. Send with Bearer and one idempotency key per confirm tap.
2. On 200 store data.token; rep.status is pending_review and the app routes to Waiting.</t>
  </si>
  <si>
    <t xml:space="preserve">•  422 when a zone falls outside the channel coverage → keep the form and paint the field error.
•  409 when the channel is not active → show error.message exactly as sent.</t>
  </si>
  <si>
    <t xml:space="preserve">☐  error.message is rendered verbatim with no invented wording.
☐  The form retains its values after either error.</t>
  </si>
  <si>
    <t xml:space="preserve">RP-06, FE-CORE-03</t>
  </si>
  <si>
    <t xml:space="preserve">RP-08</t>
  </si>
  <si>
    <t xml:space="preserve">Waiting and empty home</t>
  </si>
  <si>
    <t xml:space="preserve">FE-RP-WAIT · FE-RP-HOME-EMPTY</t>
  </si>
  <si>
    <t xml:space="preserve">1. Waiting mirrors the retailer logic.
2. Empty home shows the rep name, the channel name from the register payload, and copy stating that tasks unlock after approval.</t>
  </si>
  <si>
    <t xml:space="preserve">☐  No product list, no task list, no map, no counters.</t>
  </si>
  <si>
    <t xml:space="preserve">L1, rep, lifecycle</t>
  </si>
  <si>
    <t xml:space="preserve">RP-09</t>
  </si>
  <si>
    <t xml:space="preserve">Session and logout</t>
  </si>
  <si>
    <t xml:space="preserve">FE-RP-WAIT</t>
  </si>
  <si>
    <t xml:space="preserve">EP-CM-004 · EP-CM-005</t>
  </si>
  <si>
    <t xml:space="preserve">1. Reuse the session router and logout behaviour from the shared package.
2. Local wipe follows REQ-CM-056.</t>
  </si>
  <si>
    <t xml:space="preserve">☐  Behaviour is identical to the retailer app including the local wipe.</t>
  </si>
  <si>
    <t xml:space="preserve">L1, rep, session</t>
  </si>
  <si>
    <t xml:space="preserve">RP-10</t>
  </si>
  <si>
    <t xml:space="preserve">Packaging and recorded acceptance walkthrough</t>
  </si>
  <si>
    <t xml:space="preserve">1. Ship internal builds for both platforms.
2. Execute the three scenarios in the product definition of done and record them.</t>
  </si>
  <si>
    <t xml:space="preserve">☐  The invite journey is captured on video.
☐  The network monitor report shows zero channel-lookup calls.</t>
  </si>
  <si>
    <t xml:space="preserve">RP-01, RP-02, RP-03, RP-04, RP-05, RP-06, RP-07, RP-08, RP-09</t>
  </si>
  <si>
    <t xml:space="preserve">L1, rep, qa, release</t>
  </si>
  <si>
    <t xml:space="preserve">CH-01</t>
  </si>
  <si>
    <t xml:space="preserve">Project scaffold and four-route router</t>
  </si>
  <si>
    <t xml:space="preserve">1. Register exactly four paths: /login/phone, /login/otp, /select-channel, /home.
2. Everything else resolves to an internal 404.
3. No deferred page components are committed to the repository.</t>
  </si>
  <si>
    <t xml:space="preserve">☐  /catalog, /orders and /reps do not exist in the router table.
☐  A code review confirms no placeholder page components exist.</t>
  </si>
  <si>
    <t xml:space="preserve">L1, channel, setup, routing</t>
  </si>
  <si>
    <t xml:space="preserve">CH-02</t>
  </si>
  <si>
    <t xml:space="preserve">Phone screen and channel OTP request</t>
  </si>
  <si>
    <t xml:space="preserve">FE-CH-PHONE</t>
  </si>
  <si>
    <t xml:space="preserve">POST /channel/auth/request-otp · EP-CH-001</t>
  </si>
  <si>
    <t xml:space="preserve">1. Body contains phone only. purpose is not part of this catalog row and must not be sent.
2. Store otp_id and route to the OTP screen.
3. This path is exempt from the idempotency key per the shared kit.</t>
  </si>
  <si>
    <t xml:space="preserve">•  429 rate_limited → disable submit and show the countdown.</t>
  </si>
  <si>
    <t xml:space="preserve">☐  The contract test fails if purpose is included in the body.
☐  A 429 disables the button.</t>
  </si>
  <si>
    <t xml:space="preserve">L1, channel, otp</t>
  </si>
  <si>
    <t xml:space="preserve">CH-03</t>
  </si>
  <si>
    <t xml:space="preserve">OTP verification and session persistence</t>
  </si>
  <si>
    <t xml:space="preserve">FE-CH-OTP</t>
  </si>
  <si>
    <t xml:space="preserve">POST /channel/auth/verify-otp · EP-CH-002</t>
  </si>
  <si>
    <t xml:space="preserve">1. Body: { otp_id, code }.
2. On 200 persist token and permissions[] — permissions drive the sidebar in CH-05.
3. Read the channels collection from the response and hand it to the picker logic.</t>
  </si>
  <si>
    <t xml:space="preserve">•  401 otp_invalid → clear the boxes, no automatic re-request.
•  Empty channels or 403 → show the server message; never invent a channel.</t>
  </si>
  <si>
    <t xml:space="preserve">☐  permissions[] is persisted alongside the token.
☐  The token is written only to the store defined in FE-CORE-02.</t>
  </si>
  <si>
    <t xml:space="preserve">CH-04</t>
  </si>
  <si>
    <t xml:space="preserve">Channel picker and X-Channel-Id pinning</t>
  </si>
  <si>
    <t xml:space="preserve">FE-CH-PICK</t>
  </si>
  <si>
    <t xml:space="preserve">data.channels from the verify response</t>
  </si>
  <si>
    <t xml:space="preserve">1. When channels.length is 1, set X-Channel-Id and go straight to /home with no interstitial.
2. When channels.length is greater than 1, render cards at /select-channel.
3. The selection pins X-Channel-Id on every later request until the user switches from the header or menu.</t>
  </si>
  <si>
    <t xml:space="preserve">☐  Switching channel rebuilds permissions and clears cache bound to the previous channel.
☐  X-Channel-Id is present on every request after selection.</t>
  </si>
  <si>
    <t xml:space="preserve">L1, channel, context</t>
  </si>
  <si>
    <t xml:space="preserve">CH-05</t>
  </si>
  <si>
    <t xml:space="preserve">Shell and permission-driven sidebar</t>
  </si>
  <si>
    <t xml:space="preserve">FE-CH-SHELL</t>
  </si>
  <si>
    <t xml:space="preserve">permissions[]</t>
  </si>
  <si>
    <t xml:space="preserve">1. The sidebar is generated from permissions[] and never from a hard-coded constant.
2. Layer 2+ items (sc.catalog.*, sc.orders.*, numeric sc.dashboard.view) are either omitted or shown disabled with "Available after operations go live".
3. A disabled item has no page and issues no fetch.</t>
  </si>
  <si>
    <t xml:space="preserve">☐  A disabled item is not clickable and owns no route.
☐  Removing a permission on the server hides the item after re-login.</t>
  </si>
  <si>
    <t xml:space="preserve">FE-CORE-04, CH-04</t>
  </si>
  <si>
    <t xml:space="preserve">L1, channel, shell</t>
  </si>
  <si>
    <t xml:space="preserve">CH-06</t>
  </si>
  <si>
    <t xml:space="preserve">Empty office at /home</t>
  </si>
  <si>
    <t xml:space="preserve">1. Show the selected channel name and the signed-in user identity.</t>
  </si>
  <si>
    <t xml:space="preserve">☐  No charts, no GMV, no metric tiles anywhere on the page.</t>
  </si>
  <si>
    <t xml:space="preserve">L1, channel, home</t>
  </si>
  <si>
    <t xml:space="preserve">CH-07</t>
  </si>
  <si>
    <t xml:space="preserve">Local sign-out</t>
  </si>
  <si>
    <t xml:space="preserve">FE-CH-LOGOUT</t>
  </si>
  <si>
    <t xml:space="preserve">No channel logout endpoint exists in the L1 catalog</t>
  </si>
  <si>
    <t xml:space="preserve">1. Clear the token and X-Channel-Id locally and redirect to /login/phone.</t>
  </si>
  <si>
    <t xml:space="preserve">☐  No attempt is made to call /channel/auth/logout.
☐  No channel id remains in storage after sign-out.</t>
  </si>
  <si>
    <t xml:space="preserve">L1, channel, auth</t>
  </si>
  <si>
    <t xml:space="preserve">CH-08</t>
  </si>
  <si>
    <t xml:space="preserve">No-membership and token expiry handling</t>
  </si>
  <si>
    <t xml:space="preserve">403 and 401 envelope responses</t>
  </si>
  <si>
    <t xml:space="preserve">1. Render the server message on a 403 with no channel membership.
2. Handle unauthenticated by dropping the token and returning to sign-in.</t>
  </si>
  <si>
    <t xml:space="preserve">☐  No default channel is invented and no redirect to /home occurs on 403.</t>
  </si>
  <si>
    <t xml:space="preserve">L1, channel, errors</t>
  </si>
  <si>
    <t xml:space="preserve">CH-09</t>
  </si>
  <si>
    <t xml:space="preserve">Network siege test</t>
  </si>
  <si>
    <t xml:space="preserve">L1 allowlist</t>
  </si>
  <si>
    <t xml:space="preserve">1. Run the full journey with a request monitor comparing every path against the L1 allowlist.
2. Attach the monitor report to the issue.</t>
  </si>
  <si>
    <t xml:space="preserve">☐  The build fails on a request to /channel/brands or /channel/products.
☐  The report enumerates every path the journey touched.</t>
  </si>
  <si>
    <t xml:space="preserve">L1, channel, guardrail, qa</t>
  </si>
  <si>
    <t xml:space="preserve">CH-10</t>
  </si>
  <si>
    <t xml:space="preserve">1. Run the walkthrough with an account that belongs to two channels and record it.</t>
  </si>
  <si>
    <t xml:space="preserve">☐  The recording shows sign-in, channel selection, empty office and sign-out.
☐  Zero Layer 2 network calls occur during the recording.</t>
  </si>
  <si>
    <t xml:space="preserve">CH-01, CH-02, CH-03, CH-04, CH-05, CH-06, CH-07, CH-08, CH-09</t>
  </si>
  <si>
    <t xml:space="preserve">L1, channel, qa</t>
  </si>
  <si>
    <t xml:space="preserve">WH-01</t>
  </si>
  <si>
    <t xml:space="preserve">Read device_token from installed configuration</t>
  </si>
  <si>
    <t xml:space="preserve">device_token issued by backend warehouse:register-device</t>
  </si>
  <si>
    <t xml:space="preserve">1. Read the token from environment or local config placed by ops after backend provisioning.
2. Render a "device not provisioned" state addressed to the operator, not to the floor user.
3. The token must never be displayed in production.</t>
  </si>
  <si>
    <t xml:space="preserve">☐  The token does not appear in the UI, in browser logs or in any error message.
☐  The unprovisioned state gives the operator a clear next step.</t>
  </si>
  <si>
    <t xml:space="preserve">Any in-product device registration or token entry screen.</t>
  </si>
  <si>
    <t xml:space="preserve">L1, warehouse, security, setup</t>
  </si>
  <si>
    <t xml:space="preserve">WH-02</t>
  </si>
  <si>
    <t xml:space="preserve">PIN pad screen</t>
  </si>
  <si>
    <t xml:space="preserve">FE-WH-PIN</t>
  </si>
  <si>
    <t xml:space="preserve">1. Exactly four digits, validated against /^\d{4}$/.
2. A large on-screen numeric pad usable with gloves.
3. The OS keyboard must never appear.</t>
  </si>
  <si>
    <t xml:space="preserve">☐  Hit targets are at least 64 pixels.
☐  No system keyboard is triggered on any interaction.</t>
  </si>
  <si>
    <t xml:space="preserve">L1, warehouse, ui</t>
  </si>
  <si>
    <t xml:space="preserve">WH-03</t>
  </si>
  <si>
    <t xml:space="preserve">Device login and rejection handling</t>
  </si>
  <si>
    <t xml:space="preserve">POST /warehouse/auth/device-login · EP-WH-001</t>
  </si>
  <si>
    <t xml:space="preserve">1. Body: { device_token, pin }.
2. On 200 store the Bearer, persist permissions[] for later layers, show warehouse.name and route to /home.
3. This path is exempt from the idempotency key per the shared kit.</t>
  </si>
  <si>
    <t xml:space="preserve">•  401 → shake the pad and clear the PIN. Never reveal whether the token or the PIN failed.</t>
  </si>
  <si>
    <t xml:space="preserve">☐  The 401 message is identical regardless of which factor was wrong.
☐  permissions[] is stored even though no screen consumes it in L1.</t>
  </si>
  <si>
    <t xml:space="preserve">L1, warehouse, auth</t>
  </si>
  <si>
    <t xml:space="preserve">WH-04</t>
  </si>
  <si>
    <t xml:space="preserve">Empty floor home</t>
  </si>
  <si>
    <t xml:space="preserve">FE-WH-HOME</t>
  </si>
  <si>
    <t xml:space="preserve">1. Show the warehouse name and copy stating that queues unlock in Layer 3.</t>
  </si>
  <si>
    <t xml:space="preserve">☐  Zero calls to GET /warehouse/queues.
☐  No to_pick count and no operational figure of any kind.</t>
  </si>
  <si>
    <t xml:space="preserve">L1, warehouse, home</t>
  </si>
  <si>
    <t xml:space="preserve">WH-05</t>
  </si>
  <si>
    <t xml:space="preserve">Sign out while keeping the device token</t>
  </si>
  <si>
    <t xml:space="preserve">1. Clear the Bearer only; device_token stays on the machine.</t>
  </si>
  <si>
    <t xml:space="preserve">☐  Signing back in requires the PIN alone, with no re-provisioning.</t>
  </si>
  <si>
    <t xml:space="preserve">WH-06</t>
  </si>
  <si>
    <t xml:space="preserve">Kiosk mode and connectivity behaviour</t>
  </si>
  <si>
    <t xml:space="preserve">1. Prevent screen sleep, run full screen, enlarge typography for floor distance.
2. Define explicit behaviour for a long connectivity loss.</t>
  </si>
  <si>
    <t xml:space="preserve">☐  The terminal stays on the PIN pad without crashing after an extended outage.
☐  Recovery does not require a manual page reload.</t>
  </si>
  <si>
    <t xml:space="preserve">L1, warehouse, kiosk</t>
  </si>
  <si>
    <t xml:space="preserve">WH-07</t>
  </si>
  <si>
    <t xml:space="preserve">Acceptance walkthrough and provisioning runbook</t>
  </si>
  <si>
    <t xml:space="preserve">1. Run the walkthrough on a real terminal.
2. Write a one-page runbook describing how ops plants device_token on a new machine.</t>
  </si>
  <si>
    <t xml:space="preserve">☐  No queue route exists in the router, verified manually and by the allowlist test.
☐  The runbook is reviewed by the operations team.</t>
  </si>
  <si>
    <t xml:space="preserve">WH-01, WH-02, WH-03, WH-04, WH-05, WH-06</t>
  </si>
  <si>
    <t xml:space="preserve">L1, warehouse, qa, docs</t>
  </si>
  <si>
    <t xml:space="preserve">AD-00</t>
  </si>
  <si>
    <t xml:space="preserve">Project scaffold and route guards</t>
  </si>
  <si>
    <t xml:space="preserve">1. Register only the routes in the information architecture: /, /channels, /channels/applications, /refs/*, /iam/*, /audit, /me.
2. Guard every route with can(permission) using the minimum permission from the brief.
3. Provide one shared internal 403 page.</t>
  </si>
  <si>
    <t xml:space="preserve">☐  A guarded route shows no content flash before the check resolves.
☐  No /dashboard route exists in the table.</t>
  </si>
  <si>
    <t xml:space="preserve">L1, platform, setup, routing</t>
  </si>
  <si>
    <t xml:space="preserve">AD-01</t>
  </si>
  <si>
    <t xml:space="preserve">Shell and permission-gated navigation</t>
  </si>
  <si>
    <t xml:space="preserve">permissions[] from boot</t>
  </si>
  <si>
    <t xml:space="preserve">1. Render a nav group only when can(permission) is true: ad.channels.view, ad.refs.view (ad.refs.currency for currencies), ad.iam.view_catalog, ad.audit.view.
2. Overview at / is available to any signed-in admin and contains no charts.
3. My account is available to every admin.</t>
  </si>
  <si>
    <t xml:space="preserve">☐  A group is hidden rather than disabled when the permission is missing.
☐  No operations dashboard item exists and GET /platform/dashboard is never called.</t>
  </si>
  <si>
    <t xml:space="preserve">L1, platform, shell</t>
  </si>
  <si>
    <t xml:space="preserve">AD-02</t>
  </si>
  <si>
    <t xml:space="preserve">Generic table component</t>
  </si>
  <si>
    <t xml:space="preserve">page, per_page, sort, search, filter[*]</t>
  </si>
  <si>
    <t xml:space="preserve">1. Pagination with per_page defaulting to 25 and capped at 100, plus search, sort and filters.
2. Full table state is reflected in the URL.
3. Loading, empty and envelope-error states on every list.</t>
  </si>
  <si>
    <t xml:space="preserve">☐  Changing a filter updates the URL and a reload restores the same view.
☐  Every later list in the product consumes this component.</t>
  </si>
  <si>
    <t xml:space="preserve">L1, platform, table, shared</t>
  </si>
  <si>
    <t xml:space="preserve">AD-03</t>
  </si>
  <si>
    <t xml:space="preserve">Password confirm modal and request replay</t>
  </si>
  <si>
    <t xml:space="preserve">POST /platform/auth/confirm-password · EP-AD-005</t>
  </si>
  <si>
    <t xml:space="preserve">1. Trigger on HTTP 403 requires_password_confirm or on a route marked crit.
2. After confirmation, replay the original request verbatim with the same idempotency key.
3. The confirmation is valid for fifteen minutes.
4. This path is exempt from the idempotency key itself.</t>
  </si>
  <si>
    <t xml:space="preserve">☐  The replay does not create a duplicate operation on the server.
☐  Dismissing the modal does not lose the originating form context.
☐  Expiry after fifteen minutes reopens the modal instead of failing silently.</t>
  </si>
  <si>
    <t xml:space="preserve">FE-CORE-01, FE-CORE-03</t>
  </si>
  <si>
    <t xml:space="preserve">L1, platform, security, shared</t>
  </si>
  <si>
    <t xml:space="preserve">AD-04</t>
  </si>
  <si>
    <t xml:space="preserve">Mandatory reason modal</t>
  </si>
  <si>
    <t xml:space="preserve">reason field on ref and channel mutations</t>
  </si>
  <si>
    <t xml:space="preserve">1. reason is a required field on every mutation where the catalog carries it — not an optional note.
2. Support a minimum length where the catalog enforces one, for example twenty characters on temp grants.
3. reason travels in the request body, never as a header.</t>
  </si>
  <si>
    <t xml:space="preserve">☐  Submitting with an empty reason is impossible from the UI.
☐  The minimum length is enforced before the request is built.</t>
  </si>
  <si>
    <t xml:space="preserve">L1, platform, shared</t>
  </si>
  <si>
    <t xml:space="preserve">AD-05</t>
  </si>
  <si>
    <t xml:space="preserve">Dual-approval and pending-state handler</t>
  </si>
  <si>
    <t xml:space="preserve">draft / pending / deletion_request_id responses</t>
  </si>
  <si>
    <t xml:space="preserve">1. Any response carrying draft, pending or deletion_request_id renders a "Sent for approval" toast with a link to the approval inbox.
2. The link opens the inbox filtered on the originating request.</t>
  </si>
  <si>
    <t xml:space="preserve">☐  The UI never shows "Deleted" or "Activated" before the server executes.
☐  The inbox link lands on the correct filtered view.</t>
  </si>
  <si>
    <t xml:space="preserve">L1, platform, dual-approval, shared</t>
  </si>
  <si>
    <t xml:space="preserve">AD-06</t>
  </si>
  <si>
    <t xml:space="preserve">Background job handler</t>
  </si>
  <si>
    <t xml:space="preserve">job_id from export and provisioning routes</t>
  </si>
  <si>
    <t xml:space="preserve">1. Any response carrying job_id renders "Running in the background" and registers the job in a notification or downloads centre.
2. Never spin on the originating HTTP call.</t>
  </si>
  <si>
    <t xml:space="preserve">☐  No indefinite spinner is attached to the original request.
☐  Job completion reaches the user without a manual page refresh.</t>
  </si>
  <si>
    <t xml:space="preserve">L1, platform, jobs, shared</t>
  </si>
  <si>
    <t xml:space="preserve">AD-07</t>
  </si>
  <si>
    <t xml:space="preserve">Export with active filters</t>
  </si>
  <si>
    <t xml:space="preserve">Catalog export routes</t>
  </si>
  <si>
    <t xml:space="preserve">1. Every export sends the active filter set, not the visible page.
2. page and per_page are never included in an export body.</t>
  </si>
  <si>
    <t xml:space="preserve">☐  Exporting from page 3 of 40 produces the full filtered result set.</t>
  </si>
  <si>
    <t xml:space="preserve">AD-02, AD-06</t>
  </si>
  <si>
    <t xml:space="preserve">L1, platform, export, shared</t>
  </si>
  <si>
    <t xml:space="preserve">AD-10</t>
  </si>
  <si>
    <t xml:space="preserve">Login screen</t>
  </si>
  <si>
    <t xml:space="preserve">FE-AD-LOGIN</t>
  </si>
  <si>
    <t xml:space="preserve">POST /platform/auth/login · EP-AD-001</t>
  </si>
  <si>
    <t xml:space="preserve">1. Body: { email, password }.
2. When requires_2fa is returned, route to /login/2fa.
3. This path is exempt from the idempotency key per the shared kit.</t>
  </si>
  <si>
    <t xml:space="preserve">•  401 → generic failure copy. Never reveal whether the email exists.</t>
  </si>
  <si>
    <t xml:space="preserve">☐  Error copy is identical for unknown email and wrong password.</t>
  </si>
  <si>
    <t xml:space="preserve">L1, platform, auth</t>
  </si>
  <si>
    <t xml:space="preserve">AD-11</t>
  </si>
  <si>
    <t xml:space="preserve">TOTP challenge</t>
  </si>
  <si>
    <t xml:space="preserve">FE-AD-2FA</t>
  </si>
  <si>
    <t xml:space="preserve">POST /platform/auth/2fa/verify · EP-AD-002</t>
  </si>
  <si>
    <t xml:space="preserve">1. Body: { challenge_token, code }; challenge_token is held in screen memory only, never in long-lived storage.
2. On 200 store token, user.roles, user.permissions and expires_at, then route to /.</t>
  </si>
  <si>
    <t xml:space="preserve">•  401 otp_invalid → error on the code field, no automatic retry.</t>
  </si>
  <si>
    <t xml:space="preserve">☐  challenge_token is absent from localStorage and from any persistent store.
☐  Reloading the page mid-challenge returns to the login screen.</t>
  </si>
  <si>
    <t xml:space="preserve">L1, platform, auth, 2fa</t>
  </si>
  <si>
    <t xml:space="preserve">AD-12</t>
  </si>
  <si>
    <t xml:space="preserve">Boot and admin identity fetch</t>
  </si>
  <si>
    <t xml:space="preserve">FE-AD-BOOT</t>
  </si>
  <si>
    <t xml:space="preserve">GET /platform/auth/me (EP-AD-004) and/or GET /platform/me (EP-AD-159A)</t>
  </si>
  <si>
    <t xml:space="preserve">1. Fetch identity and permissions on every boot before the navigation is built.
2. Handle expiry by routing to login without a redirect loop.</t>
  </si>
  <si>
    <t xml:space="preserve">☐  The navigation does not render before permissions[] arrives.
☐  An expired session produces exactly one redirect.</t>
  </si>
  <si>
    <t xml:space="preserve">L1, platform, session</t>
  </si>
  <si>
    <t xml:space="preserve">AD-13</t>
  </si>
  <si>
    <t xml:space="preserve">Logout and storage clear</t>
  </si>
  <si>
    <t xml:space="preserve">POST /platform/auth/logout · EP-AD-003</t>
  </si>
  <si>
    <t xml:space="preserve">1. Call logout, then clear all session-bound storage.</t>
  </si>
  <si>
    <t xml:space="preserve">☐  No token or permission data survives logout.</t>
  </si>
  <si>
    <t xml:space="preserve">AD-14</t>
  </si>
  <si>
    <t xml:space="preserve">My account — profile tab</t>
  </si>
  <si>
    <t xml:space="preserve">FE-AD-ME</t>
  </si>
  <si>
    <t xml:space="preserve">PUT /platform/me · EP-AD-159B</t>
  </si>
  <si>
    <t xml:space="preserve">1. Display the admin record and allow editing of name and phone.</t>
  </si>
  <si>
    <t xml:space="preserve">☐  422 paints the named fields.
☐  The change is reflected in the header without a reload.</t>
  </si>
  <si>
    <t xml:space="preserve">L1, platform, me</t>
  </si>
  <si>
    <t xml:space="preserve">AD-15</t>
  </si>
  <si>
    <t xml:space="preserve">My account — password tab (crit)</t>
  </si>
  <si>
    <t xml:space="preserve">PUT /platform/me/password · EP-AD-159C</t>
  </si>
  <si>
    <t xml:space="preserve">1. Body: { current_password, password, password_confirmation }.
2. The route is marked crit and passes through the password-confirm modal.</t>
  </si>
  <si>
    <t xml:space="preserve">☐  The modal opens before the request is sent.
☐  Success does not terminate the current session unless the server requires it.</t>
  </si>
  <si>
    <t xml:space="preserve">L1, platform, me, crit</t>
  </si>
  <si>
    <t xml:space="preserve">AD-16</t>
  </si>
  <si>
    <t xml:space="preserve">My account — active sessions</t>
  </si>
  <si>
    <t xml:space="preserve">GET /platform/auth/sessions · DELETE .../sessions/{id} · EP-AD-006/007</t>
  </si>
  <si>
    <t xml:space="preserve">1. List sessions with the current one marked.
2. Allow revoking any session.</t>
  </si>
  <si>
    <t xml:space="preserve">☐  The current session is clearly marked.
☐  Revoking the current session routes to login immediately.</t>
  </si>
  <si>
    <t xml:space="preserve">L1, platform, me, sessions</t>
  </si>
  <si>
    <t xml:space="preserve">AD-17</t>
  </si>
  <si>
    <t xml:space="preserve">My account — enable 2FA and recovery codes</t>
  </si>
  <si>
    <t xml:space="preserve">POST /platform/me/2fa/enable · POST .../2fa/confirm · GET .../recovery-codes · EP-AD-159D/E/F</t>
  </si>
  <si>
    <t xml:space="preserve">1. Enable renders qr_svg or secret, then confirm with { code }.
2. recovery_codes are shown exactly once with an explicit copy warning.
3. Afterwards the endpoint returns codes_remaining only; never re-render codes.</t>
  </si>
  <si>
    <t xml:space="preserve">☐  Reloading after closing the dialog does not retrieve the codes.
☐  Codes are never written to client storage.
☐  The dialog blocks continuation until the user acknowledges copying them.</t>
  </si>
  <si>
    <t xml:space="preserve">L1, platform, me, 2fa, security</t>
  </si>
  <si>
    <t xml:space="preserve">AD-18</t>
  </si>
  <si>
    <t xml:space="preserve">My account — API tokens</t>
  </si>
  <si>
    <t xml:space="preserve">EP-AD-159G list · EP-AD-159H create · EP-AD-159I delete</t>
  </si>
  <si>
    <t xml:space="preserve">1. List existing tokens; create with a name plus password_confirmation.
2. The secret is shown once at creation and never again.</t>
  </si>
  <si>
    <t xml:space="preserve">☐  The secret is not stored or re-displayed anywhere.
☐  Deletion requires an explicit confirmation.</t>
  </si>
  <si>
    <t xml:space="preserve">L1, platform, me, tokens</t>
  </si>
  <si>
    <t xml:space="preserve">AD-20</t>
  </si>
  <si>
    <t xml:space="preserve">Permission catalog table</t>
  </si>
  <si>
    <t xml:space="preserve">FE-AD-IAM-PERMS</t>
  </si>
  <si>
    <t xml:space="preserve">GET /platform/iam/permissions</t>
  </si>
  <si>
    <t xml:space="preserve">1. Filters on system and severity.
2. Columns: code, Arabic name, system, module, severity, dual flag, role count, user count.</t>
  </si>
  <si>
    <t xml:space="preserve">☐  Filtering happens server-side through filter[*], not in the browser.
☐  Counts are printed exactly as returned.</t>
  </si>
  <si>
    <t xml:space="preserve">SP-02</t>
  </si>
  <si>
    <t xml:space="preserve">L1, platform, iam</t>
  </si>
  <si>
    <t xml:space="preserve">AD-21</t>
  </si>
  <si>
    <t xml:space="preserve">Permission holders panel</t>
  </si>
  <si>
    <t xml:space="preserve">GET /platform/iam/permissions/{code}/holders</t>
  </si>
  <si>
    <t xml:space="preserve">1. Open a side panel from a table row showing roles, users and last usage.</t>
  </si>
  <si>
    <t xml:space="preserve">☐  It is a side panel, not a full page, and contains no edit actions.</t>
  </si>
  <si>
    <t xml:space="preserve">AD-22</t>
  </si>
  <si>
    <t xml:space="preserve">Roles list</t>
  </si>
  <si>
    <t xml:space="preserve">FE-AD-IAM-ROLES</t>
  </si>
  <si>
    <t xml:space="preserve">GET /platform/iam/roles · filter[system]</t>
  </si>
  <si>
    <t xml:space="preserve">1. Filter on system and mark builtin roles.
2. Show the role status (draft or active) prominently.</t>
  </si>
  <si>
    <t xml:space="preserve">☐  A builtin role has no delete control in the tree at all.
☐  Status is visible without opening the role.</t>
  </si>
  <si>
    <t xml:space="preserve">L1, platform, iam, roles</t>
  </si>
  <si>
    <t xml:space="preserve">AD-23</t>
  </si>
  <si>
    <t xml:space="preserve">Create role with mandatory preview</t>
  </si>
  <si>
    <t xml:space="preserve">POST /platform/iam/roles/preview then POST /platform/iam/roles</t>
  </si>
  <si>
    <t xml:space="preserve">1. Fields: name, key, system, description, permissions, optional copy_from_role_id.
2. Preview first and render summary_ar together with sod_conflicts.
3. The created role status is draft, never active.</t>
  </si>
  <si>
    <t xml:space="preserve">☐  Saving without a successful preview is impossible from the UI.
☐  A SoD conflict blocks continuation and is explained in plain language.
☐  The new role appears with status draft.</t>
  </si>
  <si>
    <t xml:space="preserve">AD-22, AD-04</t>
  </si>
  <si>
    <t xml:space="preserve">L1, platform, iam, roles, sod</t>
  </si>
  <si>
    <t xml:space="preserve">AD-24</t>
  </si>
  <si>
    <t xml:space="preserve">Approve role by a second user</t>
  </si>
  <si>
    <t xml:space="preserve">POST /platform/iam/roles/{id}/approve · { reason }</t>
  </si>
  <si>
    <t xml:space="preserve">1. Approval requires a written reason.
2. The creator approving their own role receives 403 from the server.</t>
  </si>
  <si>
    <t xml:space="preserve">☐  The 403 is surfaced clearly and never swallowed.
☐  Status moves to active only after approval.</t>
  </si>
  <si>
    <t xml:space="preserve">AD-23, AD-05</t>
  </si>
  <si>
    <t xml:space="preserve">L1, platform, iam, dual-approval</t>
  </si>
  <si>
    <t xml:space="preserve">AD-25</t>
  </si>
  <si>
    <t xml:space="preserve">Replace role permissions</t>
  </si>
  <si>
    <t xml:space="preserve">PUT /platform/iam/roles/{id}/permissions · { permissions, reason }</t>
  </si>
  <si>
    <t xml:space="preserve">1. Show a before and after diff of the permission set.
2. reason is mandatory through the shared modal.</t>
  </si>
  <si>
    <t xml:space="preserve">☐  The diff is shown before submission, not after.</t>
  </si>
  <si>
    <t xml:space="preserve">AD-26</t>
  </si>
  <si>
    <t xml:space="preserve">Bulk role assignment</t>
  </si>
  <si>
    <t xml:space="preserve">FE-AD-IAM-ASSIGN</t>
  </si>
  <si>
    <t xml:space="preserve">POST /platform/iam/assignments · max 50 user_ids</t>
  </si>
  <si>
    <t xml:space="preserve">1. Cap the selection at fifty user ids per request.
2. Render the result split into assigned and rejected with a reason per rejection.</t>
  </si>
  <si>
    <t xml:space="preserve">☐  The UI prevents exceeding fifty before the request is built.
☐  A full-success message is never shown when rejections exist.</t>
  </si>
  <si>
    <t xml:space="preserve">L1, platform, iam, assignment</t>
  </si>
  <si>
    <t xml:space="preserve">AD-27</t>
  </si>
  <si>
    <t xml:space="preserve">Revoke assignment</t>
  </si>
  <si>
    <t xml:space="preserve">DELETE /platform/iam/assignments · { user_id, role_id, reason }</t>
  </si>
  <si>
    <t xml:space="preserve">1. Explicit confirmation plus a written reason.</t>
  </si>
  <si>
    <t xml:space="preserve">☐  Revocation cannot proceed without a reason.</t>
  </si>
  <si>
    <t xml:space="preserve">AD-28</t>
  </si>
  <si>
    <t xml:space="preserve">Access decision simulator</t>
  </si>
  <si>
    <t xml:space="preserve">FE-AD-IAM-SIM</t>
  </si>
  <si>
    <t xml:space="preserve">IAM simulate · decision_path</t>
  </si>
  <si>
    <t xml:space="preserve">1. Form fields: user_type, user_id, permission, resource_type, resource_id.
2. Render decision_path layer by layer with the pass or fail outcome of each layer.</t>
  </si>
  <si>
    <t xml:space="preserve">☐  The screen is read-only with no mutation controls.
☐  Every layer in decision_path is displayed in order.</t>
  </si>
  <si>
    <t xml:space="preserve">L1, platform, iam, simulation</t>
  </si>
  <si>
    <t xml:space="preserve">AD-29</t>
  </si>
  <si>
    <t xml:space="preserve">Temporary grants</t>
  </si>
  <si>
    <t xml:space="preserve">FE-AD-IAM-TEMP</t>
  </si>
  <si>
    <t xml:space="preserve">IAM temp grant routes</t>
  </si>
  <si>
    <t xml:space="preserve">1. duration_minutes must not exceed 240.
2. reason must be at least twenty characters.
3. Approval is a separate step with { decision, reason }.</t>
  </si>
  <si>
    <t xml:space="preserve">☐  The request is created as pending_approval and is not active immediately.
☐  The UI blocks a duration above 240 minutes.</t>
  </si>
  <si>
    <t xml:space="preserve">AD-04, AD-05</t>
  </si>
  <si>
    <t xml:space="preserve">L1, platform, iam, temp-grant</t>
  </si>
  <si>
    <t xml:space="preserve">AD-30</t>
  </si>
  <si>
    <t xml:space="preserve">Segregation of duties rules (read-only)</t>
  </si>
  <si>
    <t xml:space="preserve">FE-AD-IAM-SOD</t>
  </si>
  <si>
    <t xml:space="preserve">GET /platform/iam/sod-rules</t>
  </si>
  <si>
    <t xml:space="preserve">1. List the SoD rules for reading only.</t>
  </si>
  <si>
    <t xml:space="preserve">☐  No rule editor and no write controls exist in L1.</t>
  </si>
  <si>
    <t xml:space="preserve">Low</t>
  </si>
  <si>
    <t xml:space="preserve">L1, platform, iam, sod</t>
  </si>
  <si>
    <t xml:space="preserve">AD-31</t>
  </si>
  <si>
    <t xml:space="preserve">Dual-approval inbox and decisions</t>
  </si>
  <si>
    <t xml:space="preserve">FE-AD-IAM-INBOX</t>
  </si>
  <si>
    <t xml:space="preserve">GET /platform/iam/approval-requests?filter[status]=pending · POST .../{id}/decide</t>
  </si>
  <si>
    <t xml:space="preserve">1. List pending requests with enough detail to decide.
2. Decide with { decision: approve|reject, reason }.
3. The approver must differ from the requester.</t>
  </si>
  <si>
    <t xml:space="preserve">☐  A requester attempting to approve their own request sees the server message clearly.
☐  A decided request leaves the list without a manual refresh.</t>
  </si>
  <si>
    <t xml:space="preserve">AD-32</t>
  </si>
  <si>
    <t xml:space="preserve">Audit log screen</t>
  </si>
  <si>
    <t xml:space="preserve">FE-AD-AUDIT</t>
  </si>
  <si>
    <t xml:space="preserve">GET /platform/audit</t>
  </si>
  <si>
    <t xml:space="preserve">1. Filters: actor, action, channel_id and a date range.
2. Row detail: before and after values, IP address and impersonation flag.</t>
  </si>
  <si>
    <t xml:space="preserve">☐  The before/after diff is readable, not a raw JSON blob.
☐  The date range is applied server-side, not by local filtering.</t>
  </si>
  <si>
    <t xml:space="preserve">L1, platform, audit</t>
  </si>
  <si>
    <t xml:space="preserve">AD-33</t>
  </si>
  <si>
    <t xml:space="preserve">Audit export</t>
  </si>
  <si>
    <t xml:space="preserve">POST /platform/audit/export · { filters, format: "xlsx" }</t>
  </si>
  <si>
    <t xml:space="preserve">1. Send the active filters and receive job_id.
2. Hand the job to the background handler.</t>
  </si>
  <si>
    <t xml:space="preserve">☐  The UI does not wait for the file on the same request.
☐  The exported set matches the active filters, not the page.</t>
  </si>
  <si>
    <t xml:space="preserve">AD-06, AD-07, AD-32</t>
  </si>
  <si>
    <t xml:space="preserve">L1, platform, audit, export</t>
  </si>
  <si>
    <t xml:space="preserve">AD-34</t>
  </si>
  <si>
    <t xml:space="preserve">Quarterly access review</t>
  </si>
  <si>
    <t xml:space="preserve">FE-AD-IAM-REVIEW</t>
  </si>
  <si>
    <t xml:space="preserve">Access review campaign routes</t>
  </si>
  <si>
    <t xml:space="preserve">1. Start a campaign with { quarter, scope } and show the resulting item count.
2. Campaign detail: each item marked keep or revoke with a reason.
3. Show campaign progress as a decided-item ratio.</t>
  </si>
  <si>
    <t xml:space="preserve">☐  The UI must not mark the campaign closed while items are undecided.
☐  Every decision carries a reason.</t>
  </si>
  <si>
    <t xml:space="preserve">AD-02, AD-04</t>
  </si>
  <si>
    <t xml:space="preserve">L1, platform, iam, access-review</t>
  </si>
  <si>
    <t xml:space="preserve">AD-40</t>
  </si>
  <si>
    <t xml:space="preserve">Reference screen factory</t>
  </si>
  <si>
    <t xml:space="preserve">Shared pattern for all reference entities</t>
  </si>
  <si>
    <t xml:space="preserve">1. One configurable component covering list, create, update with reason, and enable/disable with an impact modal followed by confirm.
2. Unified handling of 409 ref_in_use.
3. No hard delete on any reference entity.
4. Entity specifics live in a config file, never inside the factory.</t>
  </si>
  <si>
    <t xml:space="preserve">☐  Adding a new reference entity requires one config file and no new components.
☐  A test proves all seven entities consume the same factory.</t>
  </si>
  <si>
    <t xml:space="preserve">Entity-specific business logic inside the factory itself.</t>
  </si>
  <si>
    <t xml:space="preserve">AD-02, AD-04, AD-05</t>
  </si>
  <si>
    <t xml:space="preserve">L1, platform, refs, shared, architecture</t>
  </si>
  <si>
    <t xml:space="preserve">AD-41</t>
  </si>
  <si>
    <t xml:space="preserve">Governorates reference</t>
  </si>
  <si>
    <t xml:space="preserve">FE-AD-REFS</t>
  </si>
  <si>
    <t xml:space="preserve">EP-AD-030 / 031 · update 042A · status 043A</t>
  </si>
  <si>
    <t xml:space="preserve">1. Configure list, create, update and status toggle on the factory.</t>
  </si>
  <si>
    <t xml:space="preserve">☐  Update requires a reason.
☐  No hard delete control exists.</t>
  </si>
  <si>
    <t xml:space="preserve">L1, platform, refs</t>
  </si>
  <si>
    <t xml:space="preserve">AD-42</t>
  </si>
  <si>
    <t xml:space="preserve">Zones reference — non-standard status route</t>
  </si>
  <si>
    <t xml:space="preserve">EP-AD-032 / 033 (filter[governorate_id]) · update 042B · status 034, NOT 043</t>
  </si>
  <si>
    <t xml:space="preserve">1. List supports filter[governorate_id].
2. The status toggle uses route 034, not the 043 family. This is a documented exception in the brief.</t>
  </si>
  <si>
    <t xml:space="preserve">☐  A contract test prevents drifting to 043 for zones.
☐  The governorate filter is applied server-side.</t>
  </si>
  <si>
    <t xml:space="preserve">L1, platform, refs, exception</t>
  </si>
  <si>
    <t xml:space="preserve">AD-43</t>
  </si>
  <si>
    <t xml:space="preserve">Activity types reference</t>
  </si>
  <si>
    <t xml:space="preserve">EP-AD-035A / B · 042C · 043B</t>
  </si>
  <si>
    <t xml:space="preserve">1. Configure the entity on the factory.</t>
  </si>
  <si>
    <t xml:space="preserve">☐  The shared pattern works with no additional code.</t>
  </si>
  <si>
    <t xml:space="preserve">AD-44</t>
  </si>
  <si>
    <t xml:space="preserve">Root categories reference</t>
  </si>
  <si>
    <t xml:space="preserve">EP-AD-036A / B · 042D · 043C</t>
  </si>
  <si>
    <t xml:space="preserve">1. Configure the entity and handle 409 ref_in_use on disable.</t>
  </si>
  <si>
    <t xml:space="preserve">☐  409 is presented as an understandable reason, not a generic error.</t>
  </si>
  <si>
    <t xml:space="preserve">AD-45</t>
  </si>
  <si>
    <t xml:space="preserve">Sale units reference</t>
  </si>
  <si>
    <t xml:space="preserve">EP-AD-037A / B · 042E · 043D</t>
  </si>
  <si>
    <t xml:space="preserve">1. Configure the entity; disabling a unit in use returns 409.</t>
  </si>
  <si>
    <t xml:space="preserve">☐  The in-use rejection is shown clearly with the affected context.</t>
  </si>
  <si>
    <t xml:space="preserve">AD-46</t>
  </si>
  <si>
    <t xml:space="preserve">Equipment reference</t>
  </si>
  <si>
    <t xml:space="preserve">EP-AD-038A / B · 042F · 043E</t>
  </si>
  <si>
    <t xml:space="preserve">AD-47</t>
  </si>
  <si>
    <t xml:space="preserve">Currencies reference and decimals</t>
  </si>
  <si>
    <t xml:space="preserve">EP-AD-039A / B · 042G · 043F · permission ad.refs.currency</t>
  </si>
  <si>
    <t xml:space="preserve">1. Manage currencies including the decimals field that governs every money display in the product.
2. The nav item requires ad.refs.currency rather than ad.refs.view.</t>
  </si>
  <si>
    <t xml:space="preserve">☐  Display respects decimals per currency.
☐  SYP renders with no decimal places.</t>
  </si>
  <si>
    <t xml:space="preserve">AD-40, FE-CORE-11</t>
  </si>
  <si>
    <t xml:space="preserve">L1, platform, refs, money</t>
  </si>
  <si>
    <t xml:space="preserve">AD-48</t>
  </si>
  <si>
    <t xml:space="preserve">FX rates</t>
  </si>
  <si>
    <t xml:space="preserve">GET and POST /platform/refs/fx-rates</t>
  </si>
  <si>
    <t xml:space="preserve">1. rate is an integer, sent exactly as the server expects.
2. Setting is_display_currency replaces the previous display currency and the UI states this explicitly.</t>
  </si>
  <si>
    <t xml:space="preserve">☐  No float type appears anywhere on the screen.
☐  No copy claims that open orders will reprice.</t>
  </si>
  <si>
    <t xml:space="preserve">L1, platform, refs, fx, money</t>
  </si>
  <si>
    <t xml:space="preserve">AD-49</t>
  </si>
  <si>
    <t xml:space="preserve">Zone disable impact modal</t>
  </si>
  <si>
    <t xml:space="preserve">affected payload on EP-AD-034 · REQ-AD-031</t>
  </si>
  <si>
    <t xml:space="preserve">1. Show affected.retailers, affected.reps and affected.open_orders before the second confirm.
2. Two-step confirmation is mandatory.</t>
  </si>
  <si>
    <t xml:space="preserve">☐  Disabling a zone cannot complete in a single step.
☐  The counts are printed as returned with no derivation.</t>
  </si>
  <si>
    <t xml:space="preserve">L1, platform, refs, impact</t>
  </si>
  <si>
    <t xml:space="preserve">AD-50</t>
  </si>
  <si>
    <t xml:space="preserve">Reference import with dry run</t>
  </si>
  <si>
    <t xml:space="preserve">FE-AD-REFS-IMPORT</t>
  </si>
  <si>
    <t xml:space="preserve">Multipart import · type + dry_run</t>
  </si>
  <si>
    <t xml:space="preserve">1. Upload multipart with a type value and dry_run=true first.
2. Render preview rows plus errors[{row, column, message}].
3. Execute the same file with dry_run=false and a new idempotency key.</t>
  </si>
  <si>
    <t xml:space="preserve">☐  Execution without a successful preview is impossible from the UI.
☐  Every row error points to an exact row and column.
☐  The execute call uses a fresh idempotency key, not the preview key.</t>
  </si>
  <si>
    <t xml:space="preserve">AD-40, FE-CORE-03</t>
  </si>
  <si>
    <t xml:space="preserve">L1, platform, refs, import</t>
  </si>
  <si>
    <t xml:space="preserve">AD-60</t>
  </si>
  <si>
    <t xml:space="preserve">Channels list</t>
  </si>
  <si>
    <t xml:space="preserve">FE-AD-CH-LIST</t>
  </si>
  <si>
    <t xml:space="preserve">GET /platform/channels</t>
  </si>
  <si>
    <t xml:space="preserve">1. Filters: status, plan_id, governorate_id, subscription_status, over_limit, idle.
2. Columns come from the server: name, status, plan, governorates, retailers, reps, orders, GMV.
3. Zeros are printed as zeros.</t>
  </si>
  <si>
    <t xml:space="preserve">☐  No figure is derived, estimated or invented — GMV especially.
☐  All filters operate server-side through filter[*].</t>
  </si>
  <si>
    <t xml:space="preserve">L1, platform, channels</t>
  </si>
  <si>
    <t xml:space="preserve">AD-61</t>
  </si>
  <si>
    <t xml:space="preserve">Channels list export</t>
  </si>
  <si>
    <t xml:space="preserve">EP-AD-059C</t>
  </si>
  <si>
    <t xml:space="preserve">1. Export with the active filters through the background job handler.</t>
  </si>
  <si>
    <t xml:space="preserve">☐  The current page is never used as the export scope.</t>
  </si>
  <si>
    <t xml:space="preserve">AD-07, AD-60</t>
  </si>
  <si>
    <t xml:space="preserve">L1, platform, channels, export</t>
  </si>
  <si>
    <t xml:space="preserve">AD-62</t>
  </si>
  <si>
    <t xml:space="preserve">Bulk notify channel managers</t>
  </si>
  <si>
    <t xml:space="preserve">EP-AD-068 · max 50 channels</t>
  </si>
  <si>
    <t xml:space="preserve">1. Select up to fifty channels and notify their managers.
2. Show the per-channel result.</t>
  </si>
  <si>
    <t xml:space="preserve">☐  The counter blocks selection beyond fifty before sending.
☐  The result separates delivered from rejected.</t>
  </si>
  <si>
    <t xml:space="preserve">L1, platform, channels, bulk</t>
  </si>
  <si>
    <t xml:space="preserve">AD-63</t>
  </si>
  <si>
    <t xml:space="preserve">Plan change with preview</t>
  </si>
  <si>
    <t xml:space="preserve">EP-AD-059A preview · EP-AD-059B apply</t>
  </si>
  <si>
    <t xml:space="preserve">1. Preview returns a delta of limits and features; render it before applying.
2. Apply carries a reason.</t>
  </si>
  <si>
    <t xml:space="preserve">☐  The delta is visible before confirmation.
☐  Applying without a preview is impossible.</t>
  </si>
  <si>
    <t xml:space="preserve">AD-60, AD-04</t>
  </si>
  <si>
    <t xml:space="preserve">L1, platform, channels, plan</t>
  </si>
  <si>
    <t xml:space="preserve">AD-64a</t>
  </si>
  <si>
    <t xml:space="preserve">Create channel — legal identity and documents</t>
  </si>
  <si>
    <t xml:space="preserve">FE-AD-CH-CREATE</t>
  </si>
  <si>
    <t xml:space="preserve">POST /platform/channels · EP-AD-051 (first section)</t>
  </si>
  <si>
    <t xml:space="preserve">1. Fields: name, slug, legal form, commercial register, documents, logo, internal note.
2. Document upload shows clear, retryable failure states.</t>
  </si>
  <si>
    <t xml:space="preserve">☐  slug uniqueness is validated by the server, not only locally.
☐  A failed upload can be retried without losing the rest of the form.</t>
  </si>
  <si>
    <t xml:space="preserve">L1, platform, channels, create</t>
  </si>
  <si>
    <t xml:space="preserve">AD-64b</t>
  </si>
  <si>
    <t xml:space="preserve">Create channel — coverage, subscription and limits</t>
  </si>
  <si>
    <t xml:space="preserve">POST /platform/channels · EP-AD-051 (second section)</t>
  </si>
  <si>
    <t xml:space="preserve">1. Fields: governorates, zones, activities, plan, billing cycle, trial days, limits, discount.
2. Selecting a governorate constrains the available zones.
3. All limits and discounts are integers.</t>
  </si>
  <si>
    <t xml:space="preserve">☐  No float appears in any limit or discount field.
☐  Zone options are always a subset of the selected governorates.</t>
  </si>
  <si>
    <t xml:space="preserve">AD-64a, FE-CORE-11</t>
  </si>
  <si>
    <t xml:space="preserve">L1, platform, channels, create, money</t>
  </si>
  <si>
    <t xml:space="preserve">AD-64c</t>
  </si>
  <si>
    <t xml:space="preserve">Create channel — manager, invite and submit</t>
  </si>
  <si>
    <t xml:space="preserve">POST /platform/channels · EP-AD-051 (submit)</t>
  </si>
  <si>
    <t xml:space="preserve">1. Manager block: { name, phone, email, invite_via }.
2. Submit with one idempotency key per confirm tap.
3. The response returns in well under 500ms with status provisioning and provisioning_job_id.
4. Do not wait for active on this request; open the channel card immediately.</t>
  </si>
  <si>
    <t xml:space="preserve">☐  A retry after a dropped connection does not create two channels.
☐  The UI navigates to the card as soon as the response arrives.</t>
  </si>
  <si>
    <t xml:space="preserve">AD-64b, FE-CORE-03</t>
  </si>
  <si>
    <t xml:space="preserve">AD-65</t>
  </si>
  <si>
    <t xml:space="preserve">Provisioning poll and retry</t>
  </si>
  <si>
    <t xml:space="preserve">GET /platform/channels/{id} (EP-AD-052) · retry EP-AD-053 (idempotent)</t>
  </si>
  <si>
    <t xml:space="preserve">1. Poll the channel until it reaches active or fails.
2. On failure, expose a Retry action backed by the idempotent retry endpoint.
3. Polling stops at a terminal state and has a bounded ceiling.</t>
  </si>
  <si>
    <t xml:space="preserve">☐  The create request never blocks waiting for active.
☐  Polling terminates and does not run indefinitely.</t>
  </si>
  <si>
    <t xml:space="preserve">AD-64c, AD-06</t>
  </si>
  <si>
    <t xml:space="preserve">L1, platform, channels, provisioning</t>
  </si>
  <si>
    <t xml:space="preserve">AD-66</t>
  </si>
  <si>
    <t xml:space="preserve">Channel card shell and tabs</t>
  </si>
  <si>
    <t xml:space="preserve">FE-AD-CH-CARD</t>
  </si>
  <si>
    <t xml:space="preserve">GET /platform/channels/{id} · EP-AD-052</t>
  </si>
  <si>
    <t xml:space="preserve">1. Render the DOC-07 tab set with lazy loading per tab.
2. KPI tiles print server zeros or hide entirely when every value is zero.</t>
  </si>
  <si>
    <t xml:space="preserve">☐  A tab does not fetch before it is opened.
☐  No fake sparkline and no derived figure appears on the card.</t>
  </si>
  <si>
    <t xml:space="preserve">L1, platform, channels, card</t>
  </si>
  <si>
    <t xml:space="preserve">AD-67</t>
  </si>
  <si>
    <t xml:space="preserve">Card — overview tab and edit</t>
  </si>
  <si>
    <t xml:space="preserve">GET EP-AD-052 · PUT EP-AD-062</t>
  </si>
  <si>
    <t xml:space="preserve">1. Display the channel record and allow editing with a mandatory reason.</t>
  </si>
  <si>
    <t xml:space="preserve">☐  Editing goes through the reason modal.
☐  422 paints the named fields.</t>
  </si>
  <si>
    <t xml:space="preserve">AD-66, AD-04</t>
  </si>
  <si>
    <t xml:space="preserve">AD-68</t>
  </si>
  <si>
    <t xml:space="preserve">Card — users tab (read only)</t>
  </si>
  <si>
    <t xml:space="preserve">EP-AD-063</t>
  </si>
  <si>
    <t xml:space="preserve">1. List the channel users for reading.</t>
  </si>
  <si>
    <t xml:space="preserve">☐  No write controls exist on the tab.</t>
  </si>
  <si>
    <t xml:space="preserve">AD-69</t>
  </si>
  <si>
    <t xml:space="preserve">Card — manager tab and invite reset (crit)</t>
  </si>
  <si>
    <t xml:space="preserve">EP-AD-064</t>
  </si>
  <si>
    <t xml:space="preserve">1. Reset the manager invite with a 72-hour validity through the crit path.</t>
  </si>
  <si>
    <t xml:space="preserve">☐  The action passes through the password-confirm modal.
☐  The validity window is stated to the user.</t>
  </si>
  <si>
    <t xml:space="preserve">AD-03, AD-66</t>
  </si>
  <si>
    <t xml:space="preserve">L1, platform, channels, card, crit</t>
  </si>
  <si>
    <t xml:space="preserve">AD-70</t>
  </si>
  <si>
    <t xml:space="preserve">Card — coverage tab and overlap warning</t>
  </si>
  <si>
    <t xml:space="preserve">EP-AD-065A / 065B</t>
  </si>
  <si>
    <t xml:space="preserve">1. Render zones as a map or list.
2. Warn on overlap with other channels before saving.
3. Save carries a reason.</t>
  </si>
  <si>
    <t xml:space="preserve">☐  The overlap warning appears before the save, not after.
☐  Saving without a reason is impossible.</t>
  </si>
  <si>
    <t xml:space="preserve">L1, platform, channels, coverage</t>
  </si>
  <si>
    <t xml:space="preserve">AD-71</t>
  </si>
  <si>
    <t xml:space="preserve">Card — warehouses tab (read only)</t>
  </si>
  <si>
    <t xml:space="preserve">EP-AD-066</t>
  </si>
  <si>
    <t xml:space="preserve">1. List the channel warehouses for reading.</t>
  </si>
  <si>
    <t xml:space="preserve">☐  No create or edit action exists in L1.</t>
  </si>
  <si>
    <t xml:space="preserve">AD-72</t>
  </si>
  <si>
    <t xml:space="preserve">Card — features tab and plan precedence</t>
  </si>
  <si>
    <t xml:space="preserve">EP-AD-067</t>
  </si>
  <si>
    <t xml:space="preserve">1. Show the effective value and state whether it comes from the plan or from an override.</t>
  </si>
  <si>
    <t xml:space="preserve">☐  The source of every value is labelled next to it.</t>
  </si>
  <si>
    <t xml:space="preserve">L1, platform, channels, features</t>
  </si>
  <si>
    <t xml:space="preserve">AD-73</t>
  </si>
  <si>
    <t xml:space="preserve">Card — usage tab</t>
  </si>
  <si>
    <t xml:space="preserve">EP-AD-056 · range=30d</t>
  </si>
  <si>
    <t xml:space="preserve">1. Render the 30-day usage series exactly as returned.</t>
  </si>
  <si>
    <t xml:space="preserve">☐  An empty or all-zero series is acceptable and rendered as such.
☐  No gap filling and no smoothing is applied.</t>
  </si>
  <si>
    <t xml:space="preserve">L1, platform, channels, usage</t>
  </si>
  <si>
    <t xml:space="preserve">AD-74</t>
  </si>
  <si>
    <t xml:space="preserve">Card — limits tab and temporary override</t>
  </si>
  <si>
    <t xml:space="preserve">EP-AD-055</t>
  </si>
  <si>
    <t xml:space="preserve">1. Override limits with temporary_until and a reason.
2. All limits are integers.</t>
  </si>
  <si>
    <t xml:space="preserve">☐  temporary_until is mandatory for a temporary override.
☐  No float is accepted in any limit field.</t>
  </si>
  <si>
    <t xml:space="preserve">AD-66, AD-04, FE-CORE-11</t>
  </si>
  <si>
    <t xml:space="preserve">L1, platform, channels, limits</t>
  </si>
  <si>
    <t xml:space="preserve">AD-75</t>
  </si>
  <si>
    <t xml:space="preserve">Card — status tab driven by allowed_next</t>
  </si>
  <si>
    <t xml:space="preserve">EP-AD-054</t>
  </si>
  <si>
    <t xml:space="preserve">1. Buttons are derived exclusively from the allowed_next array returned by the server.
2. There is no active → archived control because that transition does not exist.</t>
  </si>
  <si>
    <t xml:space="preserve">☐  No transition button is rendered that is absent from allowed_next.
☐  illegal_transition stops the operation and shows the server message.</t>
  </si>
  <si>
    <t xml:space="preserve">AD-66, AD-05</t>
  </si>
  <si>
    <t xml:space="preserve">L1, platform, channels, lifecycle</t>
  </si>
  <si>
    <t xml:space="preserve">AD-76</t>
  </si>
  <si>
    <t xml:space="preserve">Card — export tab</t>
  </si>
  <si>
    <t xml:space="preserve">EP-AD-057</t>
  </si>
  <si>
    <t xml:space="preserve">1. Confirm the password, then create an export job.</t>
  </si>
  <si>
    <t xml:space="preserve">☐  The response job_id is handed to the background handler.</t>
  </si>
  <si>
    <t xml:space="preserve">AD-03, AD-06</t>
  </si>
  <si>
    <t xml:space="preserve">L1, platform, channels, export, crit</t>
  </si>
  <si>
    <t xml:space="preserve">AD-77</t>
  </si>
  <si>
    <t xml:space="preserve">Card — multi-barrier channel deletion</t>
  </si>
  <si>
    <t xml:space="preserve">EP-AD-058 → deletion_request_id</t>
  </si>
  <si>
    <t xml:space="preserve">1. The control appears only when the channel status is archived.
2. Barriers: type the exact channel name, then password, then a 2FA code, then a second approver.
3. The response is a deletion request, not an execution.</t>
  </si>
  <si>
    <t xml:space="preserve">☐  The UI shows "Sent for approval" and never the word deleted.
☐  The control is absent in every status other than archived.</t>
  </si>
  <si>
    <t xml:space="preserve">AD-03, AD-05, AD-75</t>
  </si>
  <si>
    <t xml:space="preserve">L1, platform, channels, delete, crit</t>
  </si>
  <si>
    <t xml:space="preserve">AD-78</t>
  </si>
  <si>
    <t xml:space="preserve">Channel join applications</t>
  </si>
  <si>
    <t xml:space="preserve">FE-AD-CH-APPS</t>
  </si>
  <si>
    <t xml:space="preserve">GET /platform/channel-applications?filter[status]=under_review</t>
  </si>
  <si>
    <t xml:space="preserve">1. List applications filtered on under_review.
2. Decide approve or reject with a reason; approval also carries plan_id and trial_days.
3. Approval produces a channel in provisioning.</t>
  </si>
  <si>
    <t xml:space="preserve">☐  An approved application hands off to the AD-65 provisioning path.
☐  Rejection requires a written reason.</t>
  </si>
  <si>
    <t xml:space="preserve">AD-02, AD-65</t>
  </si>
  <si>
    <t xml:space="preserve">L1, platform, channels, applications</t>
  </si>
  <si>
    <t xml:space="preserve">Delivery plan — every figure is a live formula over the Backlog sheet</t>
  </si>
  <si>
    <t xml:space="preserve">Sprint assignment reflects the sequencing constraints on the Epics sheet, not team capacity. Rebalance after your first planning session; the constraints are the part that must not move.</t>
  </si>
  <si>
    <t xml:space="preserve">Story points by week and team</t>
  </si>
  <si>
    <t xml:space="preserve">Total</t>
  </si>
  <si>
    <t xml:space="preserve">Issue count by week and team</t>
  </si>
  <si>
    <t xml:space="preserve">Story points by backend gate and team</t>
  </si>
  <si>
    <t xml:space="preserve">Reading the plan</t>
  </si>
  <si>
    <t xml:space="preserve">•</t>
  </si>
  <si>
    <t xml:space="preserve">Platform Dashboard carries roughly 57% of the layer. Moving an engineer off it to Mobile does not help: Mobile is constrained by backend availability (SP-01, SP-03, SP-04), not by headcount.</t>
  </si>
  <si>
    <t xml:space="preserve">The backend-gate grid tells you what is buildable today. Anything gated on a sprint that has not shipped cannot be pulled, whatever the sprint column says.</t>
  </si>
  <si>
    <t xml:space="preserve">Week C is the heaviest week by design: it absorbs the shared-kit hand-off plus the whole of IAM.</t>
  </si>
  <si>
    <t xml:space="preserve">Blocker key</t>
  </si>
  <si>
    <t xml:space="preserve">Blocker title</t>
  </si>
  <si>
    <t xml:space="preserve">Blocker product</t>
  </si>
  <si>
    <t xml:space="preserve">Blocker sprint</t>
  </si>
  <si>
    <t xml:space="preserve">Blocked key</t>
  </si>
  <si>
    <t xml:space="preserve">Blocked title</t>
  </si>
  <si>
    <t xml:space="preserve">Blocked product</t>
  </si>
  <si>
    <t xml:space="preserve">Blocked sprint</t>
  </si>
  <si>
    <t xml:space="preserve">Cross-product</t>
  </si>
  <si>
    <t xml:space="preserve">No</t>
  </si>
  <si>
    <t xml:space="preserve">Yes</t>
  </si>
  <si>
    <t xml:space="preserve">EP-ID / contract</t>
  </si>
  <si>
    <t xml:space="preserve">Method and path</t>
  </si>
  <si>
    <t xml:space="preserve">Count</t>
  </si>
  <si>
    <t xml:space="preserve">DELETE /platform/iam/assignments</t>
  </si>
  <si>
    <t xml:space="preserve">EP-AD-001</t>
  </si>
  <si>
    <t xml:space="preserve">POST /platform/auth/login</t>
  </si>
  <si>
    <t xml:space="preserve">EP-AD-002</t>
  </si>
  <si>
    <t xml:space="preserve">POST /platform/auth/2fa/verify</t>
  </si>
  <si>
    <t xml:space="preserve">EP-AD-003</t>
  </si>
  <si>
    <t xml:space="preserve">POST /platform/auth/logout</t>
  </si>
  <si>
    <t xml:space="preserve">EP-AD-004 · EP-AD-159A</t>
  </si>
  <si>
    <t xml:space="preserve">GET /platform/auth/me · GET /platform/me</t>
  </si>
  <si>
    <t xml:space="preserve">EP-AD-005</t>
  </si>
  <si>
    <t xml:space="preserve">POST /platform/auth/confirm-password</t>
  </si>
  <si>
    <t xml:space="preserve">EP-AD-006</t>
  </si>
  <si>
    <t xml:space="preserve">GET /platform/auth/sessions</t>
  </si>
  <si>
    <t xml:space="preserve">EP-AD-030</t>
  </si>
  <si>
    <t xml:space="preserve">EP-AD-032</t>
  </si>
  <si>
    <t xml:space="preserve">EP-AD-034</t>
  </si>
  <si>
    <t xml:space="preserve">EP-AD-035A</t>
  </si>
  <si>
    <t xml:space="preserve">EP-AD-036A</t>
  </si>
  <si>
    <t xml:space="preserve">EP-AD-037A</t>
  </si>
  <si>
    <t xml:space="preserve">EP-AD-038A</t>
  </si>
  <si>
    <t xml:space="preserve">EP-AD-039A</t>
  </si>
  <si>
    <t xml:space="preserve">EP-AD-051</t>
  </si>
  <si>
    <t xml:space="preserve">POST /platform/channels</t>
  </si>
  <si>
    <t xml:space="preserve">AD-64a, AD-64b, AD-64c</t>
  </si>
  <si>
    <t xml:space="preserve">EP-AD-052</t>
  </si>
  <si>
    <t xml:space="preserve">GET /platform/channels/{id}</t>
  </si>
  <si>
    <t xml:space="preserve">EP-AD-052 · EP-AD-053</t>
  </si>
  <si>
    <t xml:space="preserve">EP-AD-052 · EP-AD-062</t>
  </si>
  <si>
    <t xml:space="preserve">EP-AD-056</t>
  </si>
  <si>
    <t xml:space="preserve">EP-AD-058</t>
  </si>
  <si>
    <t xml:space="preserve">EP-AD-059A · EP-AD-059B</t>
  </si>
  <si>
    <t xml:space="preserve">EP-AD-065A</t>
  </si>
  <si>
    <t xml:space="preserve">EP-AD-068</t>
  </si>
  <si>
    <t xml:space="preserve">EP-AD-159B</t>
  </si>
  <si>
    <t xml:space="preserve">PUT /platform/me</t>
  </si>
  <si>
    <t xml:space="preserve">EP-AD-159C</t>
  </si>
  <si>
    <t xml:space="preserve">PUT /platform/me/password</t>
  </si>
  <si>
    <t xml:space="preserve">EP-AD-159D</t>
  </si>
  <si>
    <t xml:space="preserve">POST /platform/me/2fa/enable</t>
  </si>
  <si>
    <t xml:space="preserve">EP-AD-159G · EP-AD-159H · EP-AD-159I</t>
  </si>
  <si>
    <t xml:space="preserve">EP-CH-001</t>
  </si>
  <si>
    <t xml:space="preserve">POST /channel/auth/request-otp</t>
  </si>
  <si>
    <t xml:space="preserve">EP-CH-002</t>
  </si>
  <si>
    <t xml:space="preserve">POST /channel/auth/verify-otp</t>
  </si>
  <si>
    <t xml:space="preserve">EP-CM-001</t>
  </si>
  <si>
    <t xml:space="preserve">POST /public/auth/request-otp</t>
  </si>
  <si>
    <t xml:space="preserve">RP-01, RP-03</t>
  </si>
  <si>
    <t xml:space="preserve">EP-CM-002</t>
  </si>
  <si>
    <t xml:space="preserve">POST /public/auth/verify-otp</t>
  </si>
  <si>
    <t xml:space="preserve">EP-CM-003</t>
  </si>
  <si>
    <t xml:space="preserve">POST /public/auth/resend-otp</t>
  </si>
  <si>
    <t xml:space="preserve">EP-CM-004</t>
  </si>
  <si>
    <t xml:space="preserve">GET /app/session</t>
  </si>
  <si>
    <t xml:space="preserve">RT-01, RT-11, RT-13</t>
  </si>
  <si>
    <t xml:space="preserve">EP-CM-005</t>
  </si>
  <si>
    <t xml:space="preserve">POST /app/auth/logout</t>
  </si>
  <si>
    <t xml:space="preserve">EP-CORE-001</t>
  </si>
  <si>
    <t xml:space="preserve">GET /api/v1/health</t>
  </si>
  <si>
    <t xml:space="preserve">EP-PB-001</t>
  </si>
  <si>
    <t xml:space="preserve">GET /public/refs</t>
  </si>
  <si>
    <t xml:space="preserve">EP-RP-001</t>
  </si>
  <si>
    <t xml:space="preserve">POST /app/rep/register</t>
  </si>
  <si>
    <t xml:space="preserve">EP-RT-001</t>
  </si>
  <si>
    <t xml:space="preserve">POST /app/retailer/register</t>
  </si>
  <si>
    <t xml:space="preserve">RT-08, RT-09, RT-10</t>
  </si>
  <si>
    <t xml:space="preserve">EP-WH-001</t>
  </si>
  <si>
    <t xml:space="preserve">POST /warehouse/auth/device-login</t>
  </si>
  <si>
    <t xml:space="preserve">GET /platform/iam/approval-requests?filter[status]=pending</t>
  </si>
  <si>
    <t xml:space="preserve">GET /platform/iam/roles</t>
  </si>
  <si>
    <t xml:space="preserve">POST /platform/refs/fx-rates</t>
  </si>
  <si>
    <t xml:space="preserve">POST /platform/audit/export</t>
  </si>
  <si>
    <t xml:space="preserve">POST /platform/iam/assignments</t>
  </si>
  <si>
    <t xml:space="preserve">POST /platform/iam/roles · POST /platform/iam/roles/preview</t>
  </si>
  <si>
    <t xml:space="preserve">POST /platform/iam/roles/{id}/approve</t>
  </si>
  <si>
    <t xml:space="preserve">PUT /platform/iam/roles/{id}/permissions</t>
  </si>
  <si>
    <t xml:space="preserve">CH-01, CH-06, CH-10</t>
  </si>
  <si>
    <t xml:space="preserve">RP-02, RP-05, RP-10</t>
  </si>
  <si>
    <t xml:space="preserve">RT-02, RT-04, RT-14, RT-16, RT-17, RT-18</t>
  </si>
  <si>
    <t xml:space="preserve">FE-CORE-12, FE-CORE-13</t>
  </si>
  <si>
    <t xml:space="preserve">WH-02, WH-04, WH-05, WH-06, WH-07</t>
  </si>
  <si>
    <t xml:space="preserve">Issues that build it</t>
  </si>
  <si>
    <t xml:space="preserve">Titles</t>
  </si>
  <si>
    <t xml:space="preserve">•  AD-11 — TOTP challenge</t>
  </si>
  <si>
    <t xml:space="preserve">AD-32, AD-33</t>
  </si>
  <si>
    <t xml:space="preserve">•  AD-32 — Audit log screen
•  AD-33 — Audit export</t>
  </si>
  <si>
    <t xml:space="preserve">AD-12, AD-13</t>
  </si>
  <si>
    <t xml:space="preserve">•  AD-12 — Boot and admin identity fetch
•  AD-13 — Logout and storage clear</t>
  </si>
  <si>
    <t xml:space="preserve">•  AD-78 — Channel join applications</t>
  </si>
  <si>
    <t xml:space="preserve">AD-66, AD-67, AD-68, AD-69, AD-70, AD-71, AD-72, AD-73, AD-74, AD-75, AD-76, AD-77</t>
  </si>
  <si>
    <t xml:space="preserve">•  AD-66 — Channel card shell and tabs
•  AD-67 — Card — overview tab and edit
•  AD-68 — Card — users tab (read only)
•  AD-69 — Card — manager tab and invite reset (crit)
•  AD-70 — Card — coverage tab and overlap warning
•  AD-71 — Card — warehouses tab (read only)
•  AD-72 — Card — features tab and plan precedence
•  AD-73 — Card — usage tab
•  AD-74 — Card — limits tab and temporary override
•  AD-75 — Card — status tab driven by allowed_next
•  AD-76 — Card — export tab
•  AD-77 — Card — multi-barrier channel deletion</t>
  </si>
  <si>
    <t xml:space="preserve">AD-64a, AD-64b, AD-64c, AD-65</t>
  </si>
  <si>
    <t xml:space="preserve">•  AD-64a — Create channel — legal identity and documents
•  AD-64b — Create channel — coverage, subscription and limits
•  AD-64c — Create channel — manager, invite and submit
•  AD-65 — Provisioning poll and retry</t>
  </si>
  <si>
    <t xml:space="preserve">AD-60, AD-61, AD-62, AD-63</t>
  </si>
  <si>
    <t xml:space="preserve">•  AD-60 — Channels list
•  AD-61 — Channels list export
•  AD-62 — Bulk notify channel managers
•  AD-63 — Plan change with preview</t>
  </si>
  <si>
    <t xml:space="preserve">AD-26, AD-27</t>
  </si>
  <si>
    <t xml:space="preserve">•  AD-26 — Bulk role assignment
•  AD-27 — Revoke assignment</t>
  </si>
  <si>
    <t xml:space="preserve">•  AD-31 — Dual-approval inbox and decisions</t>
  </si>
  <si>
    <t xml:space="preserve">AD-20, AD-21</t>
  </si>
  <si>
    <t xml:space="preserve">•  AD-20 — Permission catalog table
•  AD-21 — Permission holders panel</t>
  </si>
  <si>
    <t xml:space="preserve">•  AD-34 — Quarterly access review</t>
  </si>
  <si>
    <t xml:space="preserve">AD-22, AD-23, AD-24, AD-25</t>
  </si>
  <si>
    <t xml:space="preserve">•  AD-22 — Roles list
•  AD-23 — Create role with mandatory preview
•  AD-24 — Approve role by a second user
•  AD-25 — Replace role permissions</t>
  </si>
  <si>
    <t xml:space="preserve">•  AD-28 — Access decision simulator</t>
  </si>
  <si>
    <t xml:space="preserve">•  AD-30 — Segregation of duties rules (read-only)</t>
  </si>
  <si>
    <t xml:space="preserve">•  AD-29 — Temporary grants</t>
  </si>
  <si>
    <t xml:space="preserve">•  AD-10 — Login screen</t>
  </si>
  <si>
    <t xml:space="preserve">AD-14, AD-15, AD-16, AD-17, AD-18</t>
  </si>
  <si>
    <t xml:space="preserve">•  AD-14 — My account — profile tab
•  AD-15 — My account — password tab (crit)
•  AD-16 — My account — active sessions
•  AD-17 — My account — enable 2FA and recovery codes
•  AD-18 — My account — API tokens</t>
  </si>
  <si>
    <t xml:space="preserve">AD-41, AD-42, AD-43, AD-44, AD-45, AD-46, AD-47, AD-48, AD-49</t>
  </si>
  <si>
    <t xml:space="preserve">•  AD-41 — Governorates reference
•  AD-42 — Zones reference — non-standard status route
•  AD-43 — Activity types reference
•  AD-44 — Root categories reference
•  AD-45 — Sale units reference
•  AD-46 — Equipment reference
•  AD-47 — Currencies reference and decimals
•  AD-48 — FX rates
•  AD-49 — Zone disable impact modal</t>
  </si>
  <si>
    <t xml:space="preserve">•  AD-50 — Reference import with dry run</t>
  </si>
  <si>
    <t xml:space="preserve">•  CH-07 — Local sign-out</t>
  </si>
  <si>
    <t xml:space="preserve">•  CH-03 — OTP verification and session persistence</t>
  </si>
  <si>
    <t xml:space="preserve">•  CH-02 — Phone screen and channel OTP request</t>
  </si>
  <si>
    <t xml:space="preserve">•  CH-04 — Channel picker and X-Channel-Id pinning</t>
  </si>
  <si>
    <t xml:space="preserve">CH-05, CH-06, CH-08</t>
  </si>
  <si>
    <t xml:space="preserve">•  CH-05 — Shell and permission-driven sidebar
•  CH-06 — Empty office at /home
•  CH-08 — No-membership and token expiry handling</t>
  </si>
  <si>
    <t xml:space="preserve">FE-RP-HOME-EMPTY</t>
  </si>
  <si>
    <t xml:space="preserve">•  RP-08 — Waiting and empty home</t>
  </si>
  <si>
    <t xml:space="preserve">FE-RP-OTP</t>
  </si>
  <si>
    <t xml:space="preserve">•  RP-01 — Extract the shared identity flow package
•  RP-03 — Compose the phone and OTP flow</t>
  </si>
  <si>
    <t xml:space="preserve">FE-RP-PHONE</t>
  </si>
  <si>
    <t xml:space="preserve">RP-04, RP-05, RP-06, RP-07</t>
  </si>
  <si>
    <t xml:space="preserve">•  RP-04 — Invite deep link and channel_id capture
•  RP-05 — No-invite guidance screen
•  RP-06 — Rep registration form
•  RP-07 — Submit registration and handle coverage rejection</t>
  </si>
  <si>
    <t xml:space="preserve">RP-08, RP-09</t>
  </si>
  <si>
    <t xml:space="preserve">•  RP-08 — Waiting and empty home
•  RP-09 — Session and logout</t>
  </si>
  <si>
    <t xml:space="preserve">•  RT-14 — Empty home</t>
  </si>
  <si>
    <t xml:space="preserve">•  RT-15 — Logout and local wipe</t>
  </si>
  <si>
    <t xml:space="preserve">RT-04, RT-05, RT-06</t>
  </si>
  <si>
    <t xml:space="preserve">•  RT-04 — OTP screen and resend countdown
•  RT-05 — Resend OTP and channel preference
•  RT-06 — Verify OTP and new-user branch</t>
  </si>
  <si>
    <t xml:space="preserve">RT-02, RT-03</t>
  </si>
  <si>
    <t xml:space="preserve">•  RT-02 — Phone screen and Syrian number field
•  RT-03 — Request OTP integration</t>
  </si>
  <si>
    <t xml:space="preserve">RT-07, RT-08, RT-09, RT-10</t>
  </si>
  <si>
    <t xml:space="preserve">•  RT-07 — Load public refs and derive zones
•  RT-08 — Shop registration form
•  RT-09 — Optional map pin and GPS permission
•  RT-10 — Submit registration and swap the token</t>
  </si>
  <si>
    <t xml:space="preserve">•  RT-13 — Session router</t>
  </si>
  <si>
    <t xml:space="preserve">•  RT-01 — App scaffold and splash routing</t>
  </si>
  <si>
    <t xml:space="preserve">•  RT-16 — Back-stack guard</t>
  </si>
  <si>
    <t xml:space="preserve">RT-11, RT-12</t>
  </si>
  <si>
    <t xml:space="preserve">•  RT-11 — Waiting screen and status refresh
•  RT-12 — Rejected screen</t>
  </si>
  <si>
    <t xml:space="preserve">WH-04, WH-05</t>
  </si>
  <si>
    <t xml:space="preserve">•  WH-04 — Empty floor home
•  WH-05 — Sign out while keeping the device token</t>
  </si>
  <si>
    <t xml:space="preserve">WH-02, WH-03</t>
  </si>
  <si>
    <t xml:space="preserve">•  WH-02 — PIN pad screen
•  WH-03 — Device login and rejection handling</t>
  </si>
  <si>
    <t xml:space="preserve">•  WH-06 — Kiosk mode and connectivity behaviour</t>
  </si>
  <si>
    <t xml:space="preserve">error.code</t>
  </si>
  <si>
    <t xml:space="preserve">Client behaviour</t>
  </si>
  <si>
    <t xml:space="preserve">Enforced in</t>
  </si>
  <si>
    <t xml:space="preserve">Most affected issues</t>
  </si>
  <si>
    <t xml:space="preserve">validation_failed</t>
  </si>
  <si>
    <t xml:space="preserve">Inline field errors (HTTP 422) mapped from error.details.{field}.</t>
  </si>
  <si>
    <t xml:space="preserve">Every form issue: RT-03, RT-08, RT-10, RP-06, RP-07, AD-14, AD-67</t>
  </si>
  <si>
    <t xml:space="preserve">rate_limited</t>
  </si>
  <si>
    <t xml:space="preserve">Disable submit; honour resend_after / Retry-After and run the countdown.</t>
  </si>
  <si>
    <t xml:space="preserve">RT-03, RT-04, RT-05, CH-02</t>
  </si>
  <si>
    <t xml:space="preserve">unauthenticated</t>
  </si>
  <si>
    <t xml:space="preserve">Drop the token and route to login.</t>
  </si>
  <si>
    <t xml:space="preserve">RT-13, CH-08, AD-12</t>
  </si>
  <si>
    <t xml:space="preserve">token_revoked</t>
  </si>
  <si>
    <t xml:space="preserve">Same as unauthenticated.</t>
  </si>
  <si>
    <t xml:space="preserve">otp_invalid</t>
  </si>
  <si>
    <t xml:space="preserve">Clear the OTP boxes. Do NOT auto-request a new OTP.</t>
  </si>
  <si>
    <t xml:space="preserve">RT-06, RP-03, CH-03, AD-11</t>
  </si>
  <si>
    <t xml:space="preserve">insufficient_permission</t>
  </si>
  <si>
    <t xml:space="preserve">Toast, and hide the action so it cannot be retried.</t>
  </si>
  <si>
    <t xml:space="preserve">AD-01, CH-05</t>
  </si>
  <si>
    <t xml:space="preserve">requires_password_confirm</t>
  </si>
  <si>
    <t xml:space="preserve">Platform only: open the password modal, then replay the original request with the same idempotency key.</t>
  </si>
  <si>
    <t xml:space="preserve">AD-15, AD-69, AD-76, AD-77</t>
  </si>
  <si>
    <t xml:space="preserve">sod_violation</t>
  </si>
  <si>
    <t xml:space="preserve">Explain the conflict in plain language. Do not resubmit blindly.</t>
  </si>
  <si>
    <t xml:space="preserve">AD-23, AD-26</t>
  </si>
  <si>
    <t xml:space="preserve">conflict</t>
  </si>
  <si>
    <t xml:space="preserve">Stop the operation and show the server message verbatim.</t>
  </si>
  <si>
    <t xml:space="preserve">RP-07, AD-44, AD-45</t>
  </si>
  <si>
    <t xml:space="preserve">illegal_transition</t>
  </si>
  <si>
    <t xml:space="preserve">idempotency_key_conflict</t>
  </si>
  <si>
    <t xml:space="preserve">RT-10, RP-07, AD-64c</t>
  </si>
  <si>
    <t xml:space="preserve">idempotency_key_required</t>
  </si>
  <si>
    <t xml:space="preserve">Treat as a client bug: log it and fail the production build.</t>
  </si>
  <si>
    <t xml:space="preserve">All write issues</t>
  </si>
  <si>
    <t xml:space="preserve">operation_in_progress</t>
  </si>
  <si>
    <t xml:space="preserve">Wait, then retry with the SAME key.</t>
  </si>
  <si>
    <t xml:space="preserve">AD-65, RT-10</t>
  </si>
  <si>
    <t xml:space="preserve">Rule</t>
  </si>
  <si>
    <t xml:space="preserve">When</t>
  </si>
  <si>
    <t xml:space="preserve">Value or behaviour</t>
  </si>
  <si>
    <t xml:space="preserve">Owning issue</t>
  </si>
  <si>
    <t xml:space="preserve">Accept</t>
  </si>
  <si>
    <t xml:space="preserve">Always</t>
  </si>
  <si>
    <t xml:space="preserve">application/json</t>
  </si>
  <si>
    <t xml:space="preserve">Accept-Language</t>
  </si>
  <si>
    <t xml:space="preserve">ar by default, en when the user switches.</t>
  </si>
  <si>
    <t xml:space="preserve">retailer-android · retailer-ios · rep-android · rep-ios · channel-web · warehouse-web · platform-web</t>
  </si>
  <si>
    <t xml:space="preserve">X-App-Version</t>
  </si>
  <si>
    <t xml:space="preserve">Semver of the binary, taken from the build.</t>
  </si>
  <si>
    <t xml:space="preserve">X-Device-Id</t>
  </si>
  <si>
    <t xml:space="preserve">Mobile and warehouse</t>
  </si>
  <si>
    <t xml:space="preserve">Stable UUID generated once per install and never changed.</t>
  </si>
  <si>
    <t xml:space="preserve">Authorization</t>
  </si>
  <si>
    <t xml:space="preserve">After login</t>
  </si>
  <si>
    <t xml:space="preserve">Bearer {token} from the secure store.</t>
  </si>
  <si>
    <t xml:space="preserve">X-Channel-Id</t>
  </si>
  <si>
    <t xml:space="preserve">Required when the user belongs to more than one channel; pinned by the picker.</t>
  </si>
  <si>
    <t xml:space="preserve">X-Idempotency-Key</t>
  </si>
  <si>
    <t xml:space="preserve">Every POST PUT PATCH DELETE</t>
  </si>
  <si>
    <t xml:space="preserve">UUID per user intent (confirm tap). Network retry reuses the SAME key; a new tap generates a new key.</t>
  </si>
  <si>
    <t xml:space="preserve">Exempt from Bearer</t>
  </si>
  <si>
    <t xml:space="preserve">Two paths</t>
  </si>
  <si>
    <t xml:space="preserve">GET /health and GET /public/refs.</t>
  </si>
  <si>
    <t xml:space="preserve">Exempt from idempotency</t>
  </si>
  <si>
    <t xml:space="preserve">Auth paths</t>
  </si>
  <si>
    <t xml:space="preserve">Public OTP request / verify / resend, platform login and 2FA, channel OTP, warehouse device-login.</t>
  </si>
  <si>
    <t xml:space="preserve">Forbidden paths</t>
  </si>
  <si>
    <t xml:space="preserve">/api/v1/auth/* and /admin/channels. Blocked at the client layer, not merely avoided.</t>
  </si>
  <si>
    <t xml:space="preserve">Allowlist</t>
  </si>
  <si>
    <t xml:space="preserve">CI</t>
  </si>
  <si>
    <t xml:space="preserve">Any request outside the L1 allowlist fails the test suite, including every path from SP-06 onward.</t>
  </si>
  <si>
    <t xml:space="preserve">Money</t>
  </si>
  <si>
    <t xml:space="preserve">Everywhere</t>
  </si>
  <si>
    <t xml:space="preserve">Amounts, limits and FX rate are integers from the server. Format with currency decimals; SYP renders with zero decimals.</t>
  </si>
  <si>
    <t xml:space="preserve">Lists</t>
  </si>
  <si>
    <t xml:space="preserve">Platform tables</t>
  </si>
  <si>
    <t xml:space="preserve">page, per_page (default 25, max 100), sort, search, filter[*]. Exports use active filters, never the visible page.</t>
  </si>
  <si>
    <t xml:space="preserve">AD-02 / AD-07</t>
  </si>
  <si>
    <t xml:space="preserve">baseURL</t>
  </si>
  <si>
    <t xml:space="preserve">/api/v1</t>
  </si>
  <si>
    <t xml:space="preserve">#</t>
  </si>
  <si>
    <t xml:space="preserve">Risk</t>
  </si>
  <si>
    <t xml:space="preserve">Likelihood</t>
  </si>
  <si>
    <t xml:space="preserve">Impact</t>
  </si>
  <si>
    <t xml:space="preserve">Mitigation</t>
  </si>
  <si>
    <t xml:space="preserve">Scope creep: Layer 2 screens built with sales mock data "until the API is ready".</t>
  </si>
  <si>
    <t xml:space="preserve">Rework, and fabricated figures reaching a demo.</t>
  </si>
  <si>
    <t xml:space="preserve">Automated path allowlist plus a network siege test on every product journey.</t>
  </si>
  <si>
    <t xml:space="preserve">FE-CORE-10, CH-09</t>
  </si>
  <si>
    <t xml:space="preserve">The shared kit is copied into product repos instead of upgraded as a package.</t>
  </si>
  <si>
    <t xml:space="preserve">Error handling diverges between the five products.</t>
  </si>
  <si>
    <t xml:space="preserve">Governance rule: kit changes only via a PR on the package. Contract tests run in CI.</t>
  </si>
  <si>
    <t xml:space="preserve">FE-CORE-13, FE-CORE-14</t>
  </si>
  <si>
    <t xml:space="preserve">AD-40 is skipped and seven reference screens are built by hand.</t>
  </si>
  <si>
    <t xml:space="preserve">Roughly +20 points and seven copies of the reason and impact logic.</t>
  </si>
  <si>
    <t xml:space="preserve">Hard sequencing rule: the factory precedes every reference entity.</t>
  </si>
  <si>
    <t xml:space="preserve">Channel provisioning treated as a synchronous request.</t>
  </si>
  <si>
    <t xml:space="preserve">Frozen UI and duplicate channel creation.</t>
  </si>
  <si>
    <t xml:space="preserve">Poll the card until a terminal state; retry endpoint is idempotent.</t>
  </si>
  <si>
    <t xml:space="preserve">AD-65, FE-CORE-03</t>
  </si>
  <si>
    <t xml:space="preserve">"Deleted" shown before the second approver acts.</t>
  </si>
  <si>
    <t xml:space="preserve">Operational trust lost and wrong follow-up decisions.</t>
  </si>
  <si>
    <t xml:space="preserve">Central dual-approval handler intercepts every pending response.</t>
  </si>
  <si>
    <t xml:space="preserve">AD-05, AD-77</t>
  </si>
  <si>
    <t xml:space="preserve">Zone status route drifts from 034 to the 043 family.</t>
  </si>
  <si>
    <t xml:space="preserve">Silent 404 or 405 in production.</t>
  </si>
  <si>
    <t xml:space="preserve">Contract test pinned to route 034 for zones.</t>
  </si>
  <si>
    <t xml:space="preserve">AD-42, FE-CORE-14</t>
  </si>
  <si>
    <t xml:space="preserve">purpose sent to the channel OTP request.</t>
  </si>
  <si>
    <t xml:space="preserve">Unexplained 422 in front of the user.</t>
  </si>
  <si>
    <t xml:space="preserve">Catalog-generated contract test on the request body.</t>
  </si>
  <si>
    <t xml:space="preserve">CH-02, FE-CORE-14</t>
  </si>
  <si>
    <t xml:space="preserve">float used for a limit or an FX rate.</t>
  </si>
  <si>
    <t xml:space="preserve">Monetary discrepancies that cannot be reconciled.</t>
  </si>
  <si>
    <t xml:space="preserve">Integer-only money layer plus a type check in CI.</t>
  </si>
  <si>
    <t xml:space="preserve">FE-CORE-11, AD-48, AD-64b</t>
  </si>
  <si>
    <t xml:space="preserve">Warehouse device_token exposed in the production UI.</t>
  </si>
  <si>
    <t xml:space="preserve">Physical access vulnerability on a shared terminal.</t>
  </si>
  <si>
    <t xml:space="preserve">Token read from installed config only, never rendered or logged.</t>
  </si>
  <si>
    <t xml:space="preserve">challenge_token persisted in localStorage.</t>
  </si>
  <si>
    <t xml:space="preserve">2FA bypass.</t>
  </si>
  <si>
    <t xml:space="preserve">Screen-memory-only storage; page reload returns to login.</t>
  </si>
  <si>
    <t xml:space="preserve">Issue ID</t>
  </si>
  <si>
    <t xml:space="preserve">Issue Key</t>
  </si>
  <si>
    <t xml:space="preserve">Issue Type</t>
  </si>
  <si>
    <t xml:space="preserve">Summary</t>
  </si>
  <si>
    <t xml:space="preserve">Description</t>
  </si>
  <si>
    <t xml:space="preserve">Component/s</t>
  </si>
  <si>
    <t xml:space="preserve">Story Points</t>
  </si>
  <si>
    <t xml:space="preserve">Epic Name</t>
  </si>
  <si>
    <t xml:space="preserve">Epic Link</t>
  </si>
  <si>
    <t xml:space="preserve">Fix Version/s</t>
  </si>
  <si>
    <t xml:space="preserve">Backend Gate</t>
  </si>
  <si>
    <t xml:space="preserve">Blocked By</t>
  </si>
  <si>
    <t xml:space="preserve">EP-CORE-NET — Transport and errors</t>
  </si>
  <si>
    <t xml:space="preserve">*Product:* Shared API client
*Covers:* Envelope client, error map, idempotency
*Volume:* 2 issues / 10 points</t>
  </si>
  <si>
    <t xml:space="preserve">Layer 1</t>
  </si>
  <si>
    <t xml:space="preserve">L1 epic</t>
  </si>
  <si>
    <t xml:space="preserve">EP-CORE-SEC — Identity and permissions</t>
  </si>
  <si>
    <t xml:space="preserve">*Product:* Shared API client
*Covers:* Headers, token store, can()
*Volume:* 2 issues / 8 points</t>
  </si>
  <si>
    <t xml:space="preserve">EP-CORE-PLT — Platform and guardrails</t>
  </si>
  <si>
    <t xml:space="preserve">*Product:* Shared API client
*Covers:* Refs cache, i18n, money, CI, allowlist, contract tests
*Volume:* 6 issues / 18 points</t>
  </si>
  <si>
    <t xml:space="preserve">FE-CORE-01 — Envelope client and error map</t>
  </si>
  <si>
    <t xml:space="preserve">*API contract:* GET /api/v1/health (EP-CORE-001) · error contract e in the catalog
h3. Requirements
# baseURL is fixed to /api/v1 with per-environment host configuration.
# On success, expose data to the UI only; retain meta.server_time for clock-skew correction.
# On failure, surface error.message. A raw Laravel validation JSON must never reach a component.
# Implement one central map from error.code to client behaviour covering all twelve codes in the shared kit.
# Timeouts, GET-only automatic retry, and request cancellation on screen exit.
h3. Error handling
* validation_failed → inline field errors (422); rate_limited → disable submit, honour resend_after / Retry-After.
* unauthenticated and token_revoked → drop token, route to login.
* otp_invalid → clear the OTP boxes, never auto-request a new OTP.
* insufficient_permission → toast and hide the action; requires_password_confirm → platform password modal then replay.
* sod_violation → explain the conflict, do not resubmit blindly.
* conflict / illegal_transition / idempotency_key_conflict → stop and show the server message.
* idempotency_key_required → treat as a client bug: log it and fail the production build.
* operation_in_progress → wait, then retry with the same key.
h3. Acceptance criteria
* (/) GET /health returns data.status = ok through the client.
* (/) No envelope field (meta, success) reaches a UI component.
* (/) A unit test exists for each of the twelve error codes.
* (/) Automatic retry never applies to POST, PUT, PATCH or DELETE.
h3. Out of scope
* Toast and modal presentation components — those live in FE-CORE-12.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</si>
  <si>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L1 — Week A</t>
  </si>
  <si>
    <t xml:space="preserve">FE-CORE-02 — Header injection and secure token store</t>
  </si>
  <si>
    <t xml:space="preserve">*API contract:* All authenticated paths
h3. Requirements
# Inject Accept, Accept-Language, X-Client, X-App-Version on every request.
# Inject X-Device-Id on mobile and warehouse surfaces: a stable UUID generated once per install.
# Inject Authorization: Bearer {token} after login, and X-Channel-Id on the channel dashboard when the user belongs to more than one channel.
# Store the token in Keychain / Keystore on mobile and in restricted storage on web.
# Exempt from Bearer: GET /health and GET /public/refs.
# Block the forbidden paths /api/v1/auth/* and /admin/channels at the client layer.
h3. Acceptance criteria
* (/) After logout no Bearer appears on any subsequent request.
* (/) X-Device-Id is stable across application restarts and reinstall where the platform allows it.
* (/) A call to a forbidden path throws at development time rather than reaching the network.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</si>
  <si>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FE-CORE-03 — Idempotency store tied to confirm buttons</t>
  </si>
  <si>
    <t xml:space="preserve">*API contract:* X-Idempotency-Key on POST / PUT / PATCH / DELETE
h3. Requirements
# One UUID per user intent (confirm tap), not per network request.
# A retry after a dropped connection reuses the same key; a new confirm tap generates a new key.
# Expose a small API, for example withIdempotency(intentId), that wraps the call.
# Apply the shared-kit exemption list: public OTP request / verify / resend, platform login and 2FA, channel OTP, and warehouse device-login do not carry a key.
# A write outside the exemption list must never leave the client without a key.
h3. Acceptance criteria
* (/) A dropped connection followed by a retry does not create a duplicate write when the key is reused.
* (/) A second confirm tap produces a different UUID, observable in the request log.
* (/) operation_in_progress retries with the same key after a short backoff.
* (/) A non-exempt write attempted without a key fails loudly in development.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</si>
  <si>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L1 — Week B</t>
  </si>
  <si>
    <t xml:space="preserve">FE-CORE-04 — can(code) permission layer</t>
  </si>
  <si>
    <t xml:space="preserve">*API contract:* permissions[] from session and login responses
h3. Requirements
# can(code) derived from the permissions[] persisted after sign-in.
# Provide a &lt;Can&gt; wrapper component and a withPermission route guard.
# Permissions refresh on session boot and on channel switch.
h3. Acceptance criteria
* (/) A control the user lacks permission for is absent from the tree or rendered disabled with a tooltip.
* (/) A guarded route does not build its network call before the check runs.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</si>
  <si>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FE-CORE-05 — Public refs cache keyed by sync_cursor</t>
  </si>
  <si>
    <t xml:space="preserve">*API contract:* GET /public/refs (EP-PB-001)
h3. Requirements
# Cache the response under its sync_cursor and send since= when a cursor exists.
# Expose selectors for activity_types, root_categories, equipments, governorates and zones.
# Invalidate on logout and on language change.
# This path carries neither Bearer nor an idempotency key.
h3. Acceptance criteria
* (/) Changing the zone list on the server is reflected after a since= call.
* (/) Refs are not fully re-downloaded on every cold start.
* (/) Selecting a governorate filters zones by zone.governorate_id.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</si>
  <si>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FE-CORE-10 — Path allowlist guardrail</t>
  </si>
  <si>
    <t xml:space="preserve">*API contract:* L1 allowlist derived from the catalog
h3. Requirements
# Maintain an allowlist of the paths permitted in Layer 1.
# Fail the test suite on any request outside it, including /api/v1/auth/*, /admin/channels and every path from SP-06 onward.
# Print every path exercised during the run in the report.
h3. Acceptance criteria
* (/) Calling GET /channel/products or GET /warehouse/queues fails the build.
* (/) The report lists all paths touched by the journey tests.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</si>
  <si>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FE-CORE-11 — i18n, RTL and integer money formatting</t>
  </si>
  <si>
    <t xml:space="preserve">*API contract:* decimals from the currency entity
h3. Requirements
# Amounts, limits and FX rate are transported and stored as integers exactly as the server sends them.
# Display uses the currency decimals value; SYP renders with zero decimal places.
# RTL is the default layout with an en switch available.
# Accept-Language follows the active locale.
h3. Acceptance criteria
* (/) A value of 15000 in SYP renders as 15,000 with no fractional part.
* (/) A type check proves no float exists on any money path.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</si>
  <si>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FE-CORE-12 — Shared state templates and toast system</t>
  </si>
  <si>
    <t xml:space="preserve">*API contract:* —
h3. Requirements
# Provide Loading, Empty, Error and Offline templates with approved Arabic copy.
# Provide a toast system and a base modal consumed by all five products.
# The Error template renders envelope errors, not raw exceptions.
h3. Acceptance criteria
* (/) Every later screen consumes the template instead of writing its own state.
* (/) The Offline state appears within two seconds of connection loss.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</si>
  <si>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FE-CORE-13 — Repository scaffold and CI pipeline</t>
  </si>
  <si>
    <t xml:space="preserve">*API contract:* —
h3. Requirements
# Strict types, lint, tests and a build target per product.
# Publish the package internally under a semantic tag.
# Block merges on a red pipeline.
h3. Acceptance criteria
* (/) A failing PR cannot be merged.
* (/) The package is published as v0.1.0 and consumed by at least two repositories.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</si>
  <si>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FE-CORE-14 — Contract tests generated from the catalog</t>
  </si>
  <si>
    <t xml:space="preserve">*API contract:* docs/api/catalog/*.php — field b
h3. Requirements
# Generate tests that compare the outgoing request body against field b in the catalog.
# Cover extra keys, missing keys and wrong types.
# Run the suite in CI on every PR.
h3. Acceptance criteria
* (/) Sending purpose to /channel/auth/request-otp fails the test.
* (/) Adding a key absent from b fails the test.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</si>
  <si>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EP-RT-A — Identity and sign-in</t>
  </si>
  <si>
    <t xml:space="preserve">*Product:* Retailer app
*Covers:* FE-RT-SPLASH, FE-RT-PHONE, FE-RT-OTP
*Volume:* 6 issues / 15 points</t>
  </si>
  <si>
    <t xml:space="preserve">EP-RT-B — Shop file</t>
  </si>
  <si>
    <t xml:space="preserve">*Product:* Retailer app
*Covers:* FE-RT-REGISTER and /public/refs
*Volume:* 4 issues / 13 points</t>
  </si>
  <si>
    <t xml:space="preserve">EP-RT-C — Lifecycle</t>
  </si>
  <si>
    <t xml:space="preserve">*Product:* Retailer app
*Covers:* FE-RT-WAIT, FE-RT-SESSION, FE-RT-HOME-EMPTY, FE-RT-LOGOUT
*Volume:* 6 issues / 11 points</t>
  </si>
  <si>
    <t xml:space="preserve">EP-RT-D — Packaging and acceptance</t>
  </si>
  <si>
    <t xml:space="preserve">*Product:* Retailer app
*Covers:* Build, distribution, manual walkthrough
*Volume:* 2 issues / 5 points</t>
  </si>
  <si>
    <t xml:space="preserve">RT-01 — App scaffold and splash routing</t>
  </si>
  <si>
    <t xml:space="preserve">*Screen:* FE-RT-SPLASH
*API contract:* GET /app/session (EP-CM-004) on cold start when a token exists
h3. Requirements
# Router exposes exactly six screens: Splash, Phone, OTP, Register, Waiting/Rejected, Empty home.
# On cold start with no token, route to Phone.
# On cold start with a token, call the session router and branch per §3.6 of the brief.
# Five splash branches: no token, registration-ability token, pending_review, rejected, full token with active status.
h3. Acceptance criteria
* (/) Each of the five branches is covered by a routing test.
* (/) No product, cart or catalog route exists in the router table.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</si>
  <si>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FE-CORE-01 FE-CORE-02 FE-CORE-03 FE-CORE-04 FE-CORE-05</t>
  </si>
  <si>
    <t xml:space="preserve">RT-02 — Phone screen and Syrian number field</t>
  </si>
  <si>
    <t xml:space="preserve">*Screen:* FE-RT-PHONE
*API contract:* —
h3. Requirements
# A single phone field accepting 09XXXXXXXX and +9639XXXXXXXX.
# The value is sent exactly as typed; the server performs normalisation.
# One primary action: send code.
h3. Acceptance criteria
* (/) No client-side normalisation is applied to the number.
* (/) The button stays disabled until the field reaches its minimum length.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</si>
  <si>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RT-03 — Request OTP integration</t>
  </si>
  <si>
    <t xml:space="preserve">*Screen:* FE-RT-PHONE
*API contract:* POST /public/auth/request-otp · EP-CM-001
h3. Requirements
# Body: { phone, purpose, client } with client set to retailer-android or retailer-ios.
# purpose is register from a sign-up entry and login from a sign-in entry; a single-screen app sends login and relies on is_new_user.
# On 200 store otp_id, expires_in (300), resend_after (60) and channel_used, then route to OTP.
# This path is exempt from the idempotency key per the shared kit.
h3. Error handling
* 422 → errors under the phone field, in Arabic when Accept-Language is ar.
* 429 rate_limited → disable the button and start the countdown.
h3. Acceptance criteria
* (/) A non-Syrian number produces a 422 on the field in Arabic.
* (/) A 429 disables the submit button and honours resend_after.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</si>
  <si>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RT-04 — OTP screen and resend countdown</t>
  </si>
  <si>
    <t xml:space="preserve">*Screen:* FE-RT-OTP
*API contract:* —
h3. Requirements
# Six numeric boxes; a paste longer than six characters is ignored.
# Countdown starts from resend_after and reveals the resend action at zero.
# The countdown survives backgrounding and does not reset on re-render.
h3. Acceptance criteria
* (/) Backgrounding and returning resumes the countdown at the correct value.
* (/) The resend action is unavailable until the countdown reaches zero.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</si>
  <si>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RT-05 — Resend OTP and channel preference</t>
  </si>
  <si>
    <t xml:space="preserve">*Screen:* FE-RT-OTP
*API contract:* POST /public/auth/resend-otp · EP-CM-003
h3. Requirements
# Body: { otp_id, prefer_channel } with whatsapp as the default.
# The user may switch to sms; the choice is explicit, never automatic.
h3. Acceptance criteria
* (/) No automatic resend occurs under any condition.
* (/) Switching to sms is reflected in the request body.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</si>
  <si>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RT-06 — Verify OTP and new-user branch</t>
  </si>
  <si>
    <t xml:space="preserve">*Screen:* FE-RT-OTP
*API contract:* POST /public/auth/verify-otp · EP-CM-002
h3. Requirements
# Body: { otp_id, code, device_id, device_name, platform } where device_id is X-Device-Id.
# On 200 persist token in the secure store.
# If is_new_user is true or profile_completed is false, route to Register; otherwise hand control to the session router.
h3. Error handling
* 401 otp_invalid → clear the boxes and do not request a new OTP automatically.
h3. Acceptance criteria
* (/) otp_invalid clears the boxes and triggers no follow-up request.
* (/) The token is written to the secure store, not to volatile memory.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</si>
  <si>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RT-07 — Load public refs and derive zones</t>
  </si>
  <si>
    <t xml:space="preserve">*Screen:* FE-RT-REGISTER
*API contract:* GET /public/refs · EP-PB-001
h3. Requirements
# Fetch refs before painting the register form.
# Bind active activity_types, root_categories, equipments and governorates.
# Derive zones by matching zone.governorate_id against the selected governorate.
h3. Acceptance criteria
* (/) Changing the governorate clears the selected zone immediately.
* (/) The form renders from cache on a second visit without a network call.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</si>
  <si>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L1 — Week D</t>
  </si>
  <si>
    <t xml:space="preserve">RT-08 — Shop registration form</t>
  </si>
  <si>
    <t xml:space="preserve">*Screen:* FE-RT-REGISTER
*API contract:* Field set of EP-RT-001
h3. Requirements
# Required: owner_name, shop_name, activity_type_id, category_ids (at least one), governorate_id, zone_id.
# Optional: equipment_ids, address.
# Categories are multi-select; where the activity type carries suggestions, show them first.
# The screen opens only with an app token carrying the registration ability; without a token, route back to Phone.
# No email field and no password field.
h3. Acceptance criteria
* (/) Submit is impossible with zero categories selected.
* (/) The zone list only ever contains zones of the selected governorate.
* (/) Opening the screen without a registration token redirects to Phone.
h3. Out of scope
* Shop photo or document upload — not part of L1.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</si>
  <si>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RT-09 — Optional map pin and GPS permission</t>
  </si>
  <si>
    <t xml:space="preserve">*Screen:* FE-RT-REGISTER
*API contract:* lat and lng in EP-RT-001
h3. Requirements
# Request location permission with a clear rationale and fill lat / lng when granted.
# Denial must never block submission.
h3. Acceptance criteria
* (/) Denying the permission still allows the form to be submitted.
* (/) lat and lng are omitted rather than sent as zeros when no fix exists.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</si>
  <si>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RT-10 — Submit registration and swap the token</t>
  </si>
  <si>
    <t xml:space="preserve">*Screen:* FE-RT-REGISTER
*API contract:* POST /app/retailer/register · EP-RT-001 · Bearer + idempotency
h3. Requirements
# Send with Bearer and one idempotency key per confirm tap.
# On 200 replace the stored token with data.token and route to Waiting with status pending_review.
h3. Error handling
* 422 (for example zone not in governorate) → keep the form populated and render details on the offending fields.
h3. Acceptance criteria
* (/) A 422 keeps the form state intact and paints details.
* (/) A retry after a dropped connection does not create two shop profiles.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</si>
  <si>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RT-08 FE-CORE-03</t>
  </si>
  <si>
    <t xml:space="preserve">RT-11 — Waiting screen and status refresh</t>
  </si>
  <si>
    <t xml:space="preserve">*Screen:* FE-RT-WAIT
*API contract:* GET /app/session · EP-CM-004
h3. Requirements
# Static copy for pending_review, the phone number, a refresh action and logout.
# Refresh calls the session router; it never re-submits registration.
h3. Acceptance criteria
* (/) Refresh triggers a session call and nothing else.
* (/) No operational widget or fabricated counter appears on the screen.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</si>
  <si>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L1 — Week C</t>
  </si>
  <si>
    <t xml:space="preserve">RT-12 — Rejected screen</t>
  </si>
  <si>
    <t xml:space="preserve">*Screen:* FE-RT-WAIT
*API contract:* rejected status from the session
h3. Requirements
# Show rejection copy when the session provides it.
# Static WhatsApp support text is allowed as an operational contact route.
h3. Acceptance criteria
* (/) No edit form and no silent re-registration on the same token.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</si>
  <si>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RT-13 — Session router</t>
  </si>
  <si>
    <t xml:space="preserve">*Screen:* FE-RT-SESSION
*API contract:* GET /app/session · EP-CM-004
h3. Requirements
# Call the session endpoint whenever a token exists.
# Route table: 401 → Phone; profile_completed false → Register; pending profile → Waiting; complete and active → Empty home.
# Store feature_flags, sync_cursor and legal without building legal or offline products.
# When requires_legal_accept is true, a blocking copy screen is sufficient — call no additional legal API.
h3. Acceptance criteria
* (/) requires_legal_accept renders blocking copy and issues no extra API call.
* (/) points and tier are never displayed in L1.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</si>
  <si>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RT-14 — Empty home</t>
  </si>
  <si>
    <t xml:space="preserve">*Screen:* FE-RT-HOME-EMPTY
*API contract:* —
h3. Requirements
# Shop name plus copy explaining that products appear after approval and catalog (Layer 2).
h3. Acceptance criteria
* (/) No placeholder product grid, no search bar, one surface only.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</si>
  <si>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RT-15 — Logout and local wipe</t>
  </si>
  <si>
    <t xml:space="preserve">*Screen:* FE-RT-LOGOUT
*API contract:* POST /app/auth/logout · EP-CM-005
h3. Requirements
# Wipe the token, the refs cache and any local files per REQ-CM-056.
# Perform the local wipe even when the network call fails.
h3. Acceptance criteria
* (/) A failed logout request still clears local state.
* (/) A storage inspection after logout shows no token residue.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</si>
  <si>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RT-16 — Back-stack guard</t>
  </si>
  <si>
    <t xml:space="preserve">*Screen:* FE-RT-SPLASH
*API contract:* —
h3. Requirements
# The OS back gesture must not restore the register or OTP screen after logout or after the journey completes.
h3. Acceptance criteria
* (/) A test on a physical Android device proves Register is unreachable via back after logout.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</si>
  <si>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RT-17 — Packaging and internal distribution</t>
  </si>
  <si>
    <t xml:space="preserve">*API contract:* —
h3. Requirements
# Set X-Client per platform and derive X-App-Version from the build.
# Stand up an internal test channel (TestFlight and Android internal distribution).
h3. Acceptance criteria
* (/) Both builds send retailer-android and retailer-ios correctly.
* (/) The version header matches the build number.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</si>
  <si>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RT-18 — Recorded acceptance walkthrough</t>
  </si>
  <si>
    <t xml:space="preserve">*API contract:* —
h3. Requirements
# Execute the four scenarios in the product definition of done.
# Record each one and note the EP-ID used and the observed response.
h3. Acceptance criteria
* (/) A screen recording or signed manual checklist is attached to the issue.
* (/) All four scenarios pass without a workaround.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</si>
  <si>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RT-01 RT-02 RT-03 RT-04 RT-05 RT-06 RT-07 RT-08 RT-09 RT-10 RT-11 RT-12 RT-13 RT-14 RT-15 RT-16 RT-17</t>
  </si>
  <si>
    <t xml:space="preserve">EP-RP-A — Shared package and setup</t>
  </si>
  <si>
    <t xml:space="preserve">*Product:* Field rep app
*Covers:* Identity flow extraction, separate binary
*Volume:* 3 issues / 6 points</t>
  </si>
  <si>
    <t xml:space="preserve">EP-RP-B — Invite and registration</t>
  </si>
  <si>
    <t xml:space="preserve">*Product:* Field rep app
*Covers:* Deep link, channel_id, zone_ids
*Volume:* 4 issues / 9 points</t>
  </si>
  <si>
    <t xml:space="preserve">EP-RP-C — Lifecycle and acceptance</t>
  </si>
  <si>
    <t xml:space="preserve">*Product:* Field rep app
*Covers:* Waiting, empty home, session, walkthrough
*Volume:* 3 issues / 6 points</t>
  </si>
  <si>
    <t xml:space="preserve">RP-01 — Extract the shared identity flow package</t>
  </si>
  <si>
    <t xml:space="preserve">*Screen:* FE-RP-PHONE · FE-RP-OTP
*API contract:* EP-CM-001 / EP-CM-002 / EP-CM-003
h3. Requirements
# Move the phone screen, OTP screen, countdown and error handling out of the retailer app into a configurable package.
# Configuration points: client value, purpose, post-verify destination, copy.
# The retailer app consumes the package rather than keeping a private copy.
h3. Acceptance criteria
* (/) The retailer app passes its four walkthrough scenarios after extraction with no regression.
* (/) Test coverage is preserved or improved.
* (/) No duplicate OTP logic exists in either repository.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</si>
  <si>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RP-02 — Stand up the separate rep binary</t>
  </si>
  <si>
    <t xml:space="preserve">*API contract:* —
h3. Requirements
# Separate icon, bundle identifier and visual identity.
# X-Client set to rep-android or rep-ios.
# No in-session switch between retailer and rep.
h3. Acceptance criteria
* (/) Both builds send the rep client value.
* (/) No route exists for switching product roles.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</si>
  <si>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RP-03 — Compose the phone and OTP flow</t>
  </si>
  <si>
    <t xml:space="preserve">*Screen:* FE-RP-PHONE · FE-RP-OTP
*API contract:* EP-CM-001 · EP-CM-002 · EP-CM-003
h3. Requirements
# Compose the shared flow with rep configuration and no new logic.
# Verify sends device_id, device_name and platform as in the retailer app.
h3. Acceptance criteria
* (/) Registering the same phone under a second kind surfaces the server rejection message verbatim.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</si>
  <si>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RP-04 — Invite deep link and channel_id capture</t>
  </si>
  <si>
    <t xml:space="preserve">*Screen:* FE-RP-REGISTER
*API contract:* b2b-rep://register?channel_id={id} (optional channel_name)
h3. Requirements
# Handle the b2b-rep:// scheme and capture channel_id, plus channel_name for display when present.
# The channel field is locked and cannot be changed by the user.
# The link works when the app is closed and when it is backgrounded.
h3. Acceptance criteria
* (/) The channel field is non-editable in every state.
* (/) Cold start and warm start from the link both reach the register form with the id applied.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</si>
  <si>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L1 — Week E</t>
  </si>
  <si>
    <t xml:space="preserve">RP-05 — No-invite guidance screen</t>
  </si>
  <si>
    <t xml:space="preserve">*Screen:* FE-RP-REGISTER
*API contract:* —
h3. Requirements
# When the register screen is opened without channel_id, show copy only: use the invite link from your company.
# No channel search, no channel list, no fetch.
h3. Acceptance criteria
* (/) Zero calls to /platform/channels or any channel lookup, enforced by FE-CORE-10.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</si>
  <si>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RP-06 — Rep registration form</t>
  </si>
  <si>
    <t xml:space="preserve">*Screen:* FE-RP-REGISTER
*API contract:* GET /public/refs · EP-PB-001
h3. Requirements
# Required: name, supply_channel_id (locked, from the invite), activity_type_id, zone_ids with at least one entry.
# Optional: note.
# Activity types and zones come from public refs only.
h3. Acceptance criteria
* (/) Submit is impossible with an empty zone selection.
* (/) No source other than /public/refs populates the zone list.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</si>
  <si>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RP-04 FE-CORE-05</t>
  </si>
  <si>
    <t xml:space="preserve">RP-07 — Submit registration and handle coverage rejection</t>
  </si>
  <si>
    <t xml:space="preserve">*Screen:* FE-RP-REGISTER
*API contract:* POST /app/rep/register · EP-RP-001 · Bearer + idempotency
h3. Requirements
# Send with Bearer and one idempotency key per confirm tap.
# On 200 store data.token; rep.status is pending_review and the app routes to Waiting.
h3. Error handling
* 422 when a zone falls outside the channel coverage → keep the form and paint the field error.
* 409 when the channel is not active → show error.message exactly as sent.
h3. Acceptance criteria
* (/) error.message is rendered verbatim with no invented wording.
* (/) The form retains its values after either error.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</si>
  <si>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RP-06 FE-CORE-03</t>
  </si>
  <si>
    <t xml:space="preserve">RP-08 — Waiting and empty home</t>
  </si>
  <si>
    <t xml:space="preserve">*Screen:* FE-RP-WAIT · FE-RP-HOME-EMPTY
*API contract:* GET /app/session · EP-CM-004
h3. Requirements
# Waiting mirrors the retailer logic.
# Empty home shows the rep name, the channel name from the register payload, and copy stating that tasks unlock after approval.
h3. Acceptance criteria
* (/) No product list, no task list, no map, no counters.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</si>
  <si>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RP-09 — Session and logout</t>
  </si>
  <si>
    <t xml:space="preserve">*Screen:* FE-RP-WAIT
*API contract:* EP-CM-004 · EP-CM-005
h3. Requirements
# Reuse the session router and logout behaviour from the shared package.
# Local wipe follows REQ-CM-056.
h3. Acceptance criteria
* (/) Behaviour is identical to the retailer app including the local wipe.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</si>
  <si>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RP-10 — Packaging and recorded acceptance walkthrough</t>
  </si>
  <si>
    <t xml:space="preserve">*API contract:* —
h3. Requirements
# Ship internal builds for both platforms.
# Execute the three scenarios in the product definition of done and record them.
h3. Acceptance criteria
* (/) The invite journey is captured on video.
* (/) The network monitor report shows zero channel-lookup calls.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</si>
  <si>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RP-01 RP-02 RP-03 RP-04 RP-05 RP-06 RP-07 RP-08 RP-09</t>
  </si>
  <si>
    <t xml:space="preserve">EP-CH-A — Sign-in and channel selection</t>
  </si>
  <si>
    <t xml:space="preserve">*Product:* Channel dashboard
*Covers:* FE-CH-PHONE, FE-CH-OTP, FE-CH-PICK
*Volume:* 4 issues / 9 points</t>
  </si>
  <si>
    <t xml:space="preserve">EP-CH-B — Shell and office</t>
  </si>
  <si>
    <t xml:space="preserve">*Product:* Channel dashboard
*Covers:* FE-CH-SHELL, /home, FE-CH-LOGOUT
*Volume:* 4 issues / 6 points</t>
  </si>
  <si>
    <t xml:space="preserve">EP-CH-C — Guardrails and acceptance</t>
  </si>
  <si>
    <t xml:space="preserve">*Product:* Channel dashboard
*Covers:* Network siege test, walkthrough
*Volume:* 2 issues / 3 points</t>
  </si>
  <si>
    <t xml:space="preserve">CH-01 — Project scaffold and four-route router</t>
  </si>
  <si>
    <t xml:space="preserve">*API contract:* —
h3. Requirements
# Register exactly four paths: /login/phone, /login/otp, /select-channel, /home.
# Everything else resolves to an internal 404.
# No deferred page components are committed to the repository.
h3. Acceptance criteria
* (/) /catalog, /orders and /reps do not exist in the router table.
* (/) A code review confirms no placeholder page components exist.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</si>
  <si>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CH-02 — Phone screen and channel OTP request</t>
  </si>
  <si>
    <t xml:space="preserve">*Screen:* FE-CH-PHONE
*API contract:* POST /channel/auth/request-otp · EP-CH-001
h3. Requirements
# Body contains phone only. purpose is not part of this catalog row and must not be sent.
# Store otp_id and route to the OTP screen.
# This path is exempt from the idempotency key per the shared kit.
h3. Error handling
* 429 rate_limited → disable submit and show the countdown.
h3. Acceptance criteria
* (/) The contract test fails if purpose is included in the body.
* (/) A 429 disables the button.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</si>
  <si>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CH-03 — OTP verification and session persistence</t>
  </si>
  <si>
    <t xml:space="preserve">*Screen:* FE-CH-OTP
*API contract:* POST /channel/auth/verify-otp · EP-CH-002
h3. Requirements
# Body: { otp_id, code }.
# On 200 persist token and permissions[] — permissions drive the sidebar in CH-05.
# Read the channels collection from the response and hand it to the picker logic.
h3. Error handling
* 401 otp_invalid → clear the boxes, no automatic re-request.
* Empty channels or 403 → show the server message; never invent a channel.
h3. Acceptance criteria
* (/) permissions[] is persisted alongside the token.
* (/) The token is written only to the store defined in FE-CORE-02.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</si>
  <si>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CH-04 — Channel picker and X-Channel-Id pinning</t>
  </si>
  <si>
    <t xml:space="preserve">*Screen:* FE-CH-PICK
*API contract:* data.channels from the verify response
h3. Requirements
# When channels.length is 1, set X-Channel-Id and go straight to /home with no interstitial.
# When channels.length is greater than 1, render cards at /select-channel.
# The selection pins X-Channel-Id on every later request until the user switches from the header or menu.
h3. Acceptance criteria
* (/) Switching channel rebuilds permissions and clears cache bound to the previous channel.
* (/) X-Channel-Id is present on every request after selection.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</si>
  <si>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CH-05 — Shell and permission-driven sidebar</t>
  </si>
  <si>
    <t xml:space="preserve">*Screen:* FE-CH-SHELL
*API contract:* permissions[]
h3. Requirements
# The sidebar is generated from permissions[] and never from a hard-coded constant.
# Layer 2+ items (sc.catalog.*, sc.orders.*, numeric sc.dashboard.view) are either omitted or shown disabled with "Available after operations go live".
# A disabled item has no page and issues no fetch.
h3. Acceptance criteria
* (/) A disabled item is not clickable and owns no route.
* (/) Removing a permission on the server hides the item after re-login.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</si>
  <si>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FE-CORE-04 CH-04</t>
  </si>
  <si>
    <t xml:space="preserve">CH-06 — Empty office at /home</t>
  </si>
  <si>
    <t xml:space="preserve">*Screen:* FE-CH-SHELL
*API contract:* —
h3. Requirements
# Show the selected channel name and the signed-in user identity.
h3. Acceptance criteria
* (/) No charts, no GMV, no metric tiles anywhere on the page.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</si>
  <si>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CH-07 — Local sign-out</t>
  </si>
  <si>
    <t xml:space="preserve">*Screen:* FE-CH-LOGOUT
*API contract:* No channel logout endpoint exists in the L1 catalog
h3. Requirements
# Clear the token and X-Channel-Id locally and redirect to /login/phone.
h3. Acceptance criteria
* (/) No attempt is made to call /channel/auth/logout.
* (/) No channel id remains in storage after sign-out.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</si>
  <si>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CH-08 — No-membership and token expiry handling</t>
  </si>
  <si>
    <t xml:space="preserve">*Screen:* FE-CH-SHELL
*API contract:* 403 and 401 envelope responses
h3. Requirements
# Render the server message on a 403 with no channel membership.
# Handle unauthenticated by dropping the token and returning to sign-in.
h3. Acceptance criteria
* (/) No default channel is invented and no redirect to /home occurs on 403.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</si>
  <si>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CH-09 — Network siege test</t>
  </si>
  <si>
    <t xml:space="preserve">*API contract:* L1 allowlist
h3. Requirements
# Run the full journey with a request monitor comparing every path against the L1 allowlist.
# Attach the monitor report to the issue.
h3. Acceptance criteria
* (/) The build fails on a request to /channel/brands or /channel/products.
* (/) The report enumerates every path the journey touched.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</si>
  <si>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CH-10 — Recorded acceptance walkthrough</t>
  </si>
  <si>
    <t xml:space="preserve">*API contract:* —
h3. Requirements
# Run the walkthrough with an account that belongs to two channels and record it.
h3. Acceptance criteria
* (/) The recording shows sign-in, channel selection, empty office and sign-out.
* (/) Zero Layer 2 network calls occur during the recording.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</si>
  <si>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CH-01 CH-02 CH-03 CH-04 CH-05 CH-06 CH-07 CH-08 CH-09</t>
  </si>
  <si>
    <t xml:space="preserve">EP-WH-A — Device provisioning and lock</t>
  </si>
  <si>
    <t xml:space="preserve">*Product:* Warehouse web
*Covers:* device_token, FE-WH-PIN, device login
*Volume:* 3 issues / 8 points</t>
  </si>
  <si>
    <t xml:space="preserve">EP-WH-B — Floor and acceptance</t>
  </si>
  <si>
    <t xml:space="preserve">*Product:* Warehouse web
*Covers:* FE-WH-HOME, sign-out, kiosk mode, walkthrough
*Volume:* 4 issues / 5 points</t>
  </si>
  <si>
    <t xml:space="preserve">WH-01 — Read device_token from installed configuration</t>
  </si>
  <si>
    <t xml:space="preserve">*API contract:* device_token issued by backend warehouse:register-device
h3. Requirements
# Read the token from environment or local config placed by ops after backend provisioning.
# Render a "device not provisioned" state addressed to the operator, not to the floor user.
# The token must never be displayed in production.
h3. Acceptance criteria
* (/) The token does not appear in the UI, in browser logs or in any error message.
* (/) The unprovisioned state gives the operator a clear next step.
h3. Out of scope
* Any in-product device registration or token entry screen.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</si>
  <si>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WH-02 — PIN pad screen</t>
  </si>
  <si>
    <t xml:space="preserve">*Screen:* FE-WH-PIN
*API contract:* —
h3. Requirements
# Exactly four digits, validated against /^\d{4}$/.
# A large on-screen numeric pad usable with gloves.
# The OS keyboard must never appear.
h3. Acceptance criteria
* (/) Hit targets are at least 64 pixels.
* (/) No system keyboard is triggered on any interaction.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</si>
  <si>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WH-03 — Device login and rejection handling</t>
  </si>
  <si>
    <t xml:space="preserve">*Screen:* FE-WH-PIN
*API contract:* POST /warehouse/auth/device-login · EP-WH-001
h3. Requirements
# Body: { device_token, pin }.
# On 200 store the Bearer, persist permissions[] for later layers, show warehouse.name and route to /home.
# This path is exempt from the idempotency key per the shared kit.
h3. Error handling
* 401 → shake the pad and clear the PIN. Never reveal whether the token or the PIN failed.
h3. Acceptance criteria
* (/) The 401 message is identical regardless of which factor was wrong.
* (/) permissions[] is stored even though no screen consumes it in L1.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</si>
  <si>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WH-04 — Empty floor home</t>
  </si>
  <si>
    <t xml:space="preserve">*Screen:* FE-WH-HOME
*API contract:* —
h3. Requirements
# Show the warehouse name and copy stating that queues unlock in Layer 3.
h3. Acceptance criteria
* (/) Zero calls to GET /warehouse/queues.
* (/) No to_pick count and no operational figure of any kind.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</si>
  <si>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WH-05 — Sign out while keeping the device token</t>
  </si>
  <si>
    <t xml:space="preserve">*Screen:* FE-WH-HOME
*API contract:* —
h3. Requirements
# Clear the Bearer only; device_token stays on the machine.
h3. Acceptance criteria
* (/) Signing back in requires the PIN alone, with no re-provisioning.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</si>
  <si>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WH-06 — Kiosk mode and connectivity behaviour</t>
  </si>
  <si>
    <t xml:space="preserve">*Screen:* FE-WH-PIN
*API contract:* —
h3. Requirements
# Prevent screen sleep, run full screen, enlarge typography for floor distance.
# Define explicit behaviour for a long connectivity loss.
h3. Acceptance criteria
* (/) The terminal stays on the PIN pad without crashing after an extended outage.
* (/) Recovery does not require a manual page reload.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</si>
  <si>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WH-07 — Acceptance walkthrough and provisioning runbook</t>
  </si>
  <si>
    <t xml:space="preserve">*API contract:* —
h3. Requirements
# Run the walkthrough on a real terminal.
# Write a one-page runbook describing how ops plants device_token on a new machine.
h3. Acceptance criteria
* (/) No queue route exists in the router, verified manually and by the allowlist test.
* (/) The runbook is reviewed by the operations team.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</si>
  <si>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WH-01 WH-02 WH-03 WH-04 WH-05 WH-06</t>
  </si>
  <si>
    <t xml:space="preserve">EP-AD-SHELL — Shell and governing components</t>
  </si>
  <si>
    <t xml:space="preserve">*Product:* Platform admin
*Covers:* Router, generic table, password confirm, reason modal, dual approval, background jobs
*Volume:* 8 issues / 26 points</t>
  </si>
  <si>
    <t xml:space="preserve">EP-AD-ACC — SP-01 auth and my account</t>
  </si>
  <si>
    <t xml:space="preserve">*Product:* Platform admin
*Covers:* Login, 2FA, boot, logout, /me tabs
*Volume:* 9 issues / 23 points</t>
  </si>
  <si>
    <t xml:space="preserve">EP-AD-IAM — SP-02 access and audit</t>
  </si>
  <si>
    <t xml:space="preserve">*Product:* Platform admin
*Covers:* Permissions, roles, assignments, simulate, inbox, audit, review
*Volume:* 15 issues / 42 points</t>
  </si>
  <si>
    <t xml:space="preserve">EP-AD-REFS — SP-03 references</t>
  </si>
  <si>
    <t xml:space="preserve">*Product:* Platform admin
*Covers:* Reference factory, seven entities, FX, import
*Volume:* 11 issues / 33 points</t>
  </si>
  <si>
    <t xml:space="preserve">EP-AD-CH — SP-04 channels</t>
  </si>
  <si>
    <t xml:space="preserve">*Product:* Platform admin
*Covers:* List, create and provisioning, card tabs, join applications
*Volume:* 21 issues / 62 points</t>
  </si>
  <si>
    <t xml:space="preserve">AD-00 — Project scaffold and route guards</t>
  </si>
  <si>
    <t xml:space="preserve">*API contract:* —
h3. Requirements
# Register only the routes in the information architecture: /, /channels, /channels/applications, /refs/*, /iam/*, /audit, /me.
# Guard every route with can(permission) using the minimum permission from the brief.
# Provide one shared internal 403 page.
h3. Acceptance criteria
* (/) A guarded route shows no content flash before the check resolves.
* (/) No /dashboard route exists in the table.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</si>
  <si>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AD-01 — Shell and permission-gated navigation</t>
  </si>
  <si>
    <t xml:space="preserve">*API contract:* permissions[] from boot
h3. Requirements
# Render a nav group only when can(permission) is true: ad.channels.view, ad.refs.view (ad.refs.currency for currencies), ad.iam.view_catalog, ad.audit.view.
# Overview at / is available to any signed-in admin and contains no charts.
# My account is available to every admin.
h3. Acceptance criteria
* (/) A group is hidden rather than disabled when the permission is missing.
* (/) No operations dashboard item exists and GET /platform/dashboard is never called.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</si>
  <si>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AD-02 — Generic table component</t>
  </si>
  <si>
    <t xml:space="preserve">*API contract:* page, per_page, sort, search, filter[*]
h3. Requirements
# Pagination with per_page defaulting to 25 and capped at 100, plus search, sort and filters.
# Full table state is reflected in the URL.
# Loading, empty and envelope-error states on every list.
h3. Acceptance criteria
* (/) Changing a filter updates the URL and a reload restores the same view.
* (/) Every later list in the product consumes this component.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</si>
  <si>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AD-03 — Password confirm modal and request replay</t>
  </si>
  <si>
    <t xml:space="preserve">*API contract:* POST /platform/auth/confirm-password · EP-AD-005
h3. Requirements
# Trigger on HTTP 403 requires_password_confirm or on a route marked crit.
# After confirmation, replay the original request verbatim with the same idempotency key.
# The confirmation is valid for fifteen minutes.
# This path is exempt from the idempotency key itself.
h3. Acceptance criteria
* (/) The replay does not create a duplicate operation on the server.
* (/) Dismissing the modal does not lose the originating form context.
* (/) Expiry after fifteen minutes reopens the modal instead of failing silently.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</si>
  <si>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FE-CORE-01 FE-CORE-03</t>
  </si>
  <si>
    <t xml:space="preserve">AD-04 — Mandatory reason modal</t>
  </si>
  <si>
    <t xml:space="preserve">*API contract:* reason field on ref and channel mutations
h3. Requirements
# reason is a required field on every mutation where the catalog carries it — not an optional note.
# Support a minimum length where the catalog enforces one, for example twenty characters on temp grants.
# reason travels in the request body, never as a header.
h3. Acceptance criteria
* (/) Submitting with an empty reason is impossible from the UI.
* (/) The minimum length is enforced before the request is built.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</si>
  <si>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AD-05 — Dual-approval and pending-state handler</t>
  </si>
  <si>
    <t xml:space="preserve">*API contract:* draft / pending / deletion_request_id responses
h3. Requirements
# Any response carrying draft, pending or deletion_request_id renders a "Sent for approval" toast with a link to the approval inbox.
# The link opens the inbox filtered on the originating request.
h3. Acceptance criteria
* (/) The UI never shows "Deleted" or "Activated" before the server executes.
* (/) The inbox link lands on the correct filtered view.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</si>
  <si>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AD-06 — Background job handler</t>
  </si>
  <si>
    <t xml:space="preserve">*API contract:* job_id from export and provisioning routes
h3. Requirements
# Any response carrying job_id renders "Running in the background" and registers the job in a notification or downloads centre.
# Never spin on the originating HTTP call.
h3. Acceptance criteria
* (/) No indefinite spinner is attached to the original request.
* (/) Job completion reaches the user without a manual page refresh.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</si>
  <si>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AD-07 — Export with active filters</t>
  </si>
  <si>
    <t xml:space="preserve">*API contract:* Catalog export routes
h3. Requirements
# Every export sends the active filter set, not the visible page.
# page and per_page are never included in an export body.
h3. Acceptance criteria
* (/) Exporting from page 3 of 40 produces the full filtered result set.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</si>
  <si>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AD-02 AD-06</t>
  </si>
  <si>
    <t xml:space="preserve">AD-10 — Login screen</t>
  </si>
  <si>
    <t xml:space="preserve">*Screen:* FE-AD-LOGIN
*API contract:* POST /platform/auth/login · EP-AD-001
h3. Requirements
# Body: { email, password }.
# When requires_2fa is returned, route to /login/2fa.
# This path is exempt from the idempotency key per the shared kit.
h3. Error handling
* 401 → generic failure copy. Never reveal whether the email exists.
h3. Acceptance criteria
* (/) Error copy is identical for unknown email and wrong password.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</si>
  <si>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AD-11 — TOTP challenge</t>
  </si>
  <si>
    <t xml:space="preserve">*Screen:* FE-AD-2FA
*API contract:* POST /platform/auth/2fa/verify · EP-AD-002
h3. Requirements
# Body: { challenge_token, code }; challenge_token is held in screen memory only, never in long-lived storage.
# On 200 store token, user.roles, user.permissions and expires_at, then route to /.
h3. Error handling
* 401 otp_invalid → error on the code field, no automatic retry.
h3. Acceptance criteria
* (/) challenge_token is absent from localStorage and from any persistent store.
* (/) Reloading the page mid-challenge returns to the login screen.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</si>
  <si>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AD-12 — Boot and admin identity fetch</t>
  </si>
  <si>
    <t xml:space="preserve">*Screen:* FE-AD-BOOT
*API contract:* GET /platform/auth/me (EP-AD-004) and/or GET /platform/me (EP-AD-159A)
h3. Requirements
# Fetch identity and permissions on every boot before the navigation is built.
# Handle expiry by routing to login without a redirect loop.
h3. Acceptance criteria
* (/) The navigation does not render before permissions[] arrives.
* (/) An expired session produces exactly one redirect.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</si>
  <si>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AD-13 — Logout and storage clear</t>
  </si>
  <si>
    <t xml:space="preserve">*Screen:* FE-AD-BOOT
*API contract:* POST /platform/auth/logout · EP-AD-003
h3. Requirements
# Call logout, then clear all session-bound storage.
h3. Acceptance criteria
* (/) No token or permission data survives logout.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</si>
  <si>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AD-14 — My account — profile tab</t>
  </si>
  <si>
    <t xml:space="preserve">*Screen:* FE-AD-ME
*API contract:* PUT /platform/me · EP-AD-159B
h3. Requirements
# Display the admin record and allow editing of name and phone.
h3. Acceptance criteria
* (/) 422 paints the named fields.
* (/) The change is reflected in the header without a reload.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</si>
  <si>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AD-15 — My account — password tab (crit)</t>
  </si>
  <si>
    <t xml:space="preserve">*Screen:* FE-AD-ME
*API contract:* PUT /platform/me/password · EP-AD-159C
h3. Requirements
# Body: { current_password, password, password_confirmation }.
# The route is marked crit and passes through the password-confirm modal.
h3. Acceptance criteria
* (/) The modal opens before the request is sent.
* (/) Success does not terminate the current session unless the server requires it.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</si>
  <si>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AD-16 — My account — active sessions</t>
  </si>
  <si>
    <t xml:space="preserve">*Screen:* FE-AD-ME
*API contract:* GET /platform/auth/sessions · DELETE .../sessions/{id} · EP-AD-006/007
h3. Requirements
# List sessions with the current one marked.
# Allow revoking any session.
h3. Acceptance criteria
* (/) The current session is clearly marked.
* (/) Revoking the current session routes to login immediately.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</si>
  <si>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AD-17 — My account — enable 2FA and recovery codes</t>
  </si>
  <si>
    <t xml:space="preserve">*Screen:* FE-AD-ME
*API contract:* POST /platform/me/2fa/enable · POST .../2fa/confirm · GET .../recovery-codes · EP-AD-159D/E/F
h3. Requirements
# Enable renders qr_svg or secret, then confirm with { code }.
# recovery_codes are shown exactly once with an explicit copy warning.
# Afterwards the endpoint returns codes_remaining only; never re-render codes.
h3. Acceptance criteria
* (/) Reloading after closing the dialog does not retrieve the codes.
* (/) Codes are never written to client storage.
* (/) The dialog blocks continuation until the user acknowledges copying them.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</si>
  <si>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AD-18 — My account — API tokens</t>
  </si>
  <si>
    <t xml:space="preserve">*Screen:* FE-AD-ME
*API contract:* EP-AD-159G list · EP-AD-159H create · EP-AD-159I delete
h3. Requirements
# List existing tokens; create with a name plus password_confirmation.
# The secret is shown once at creation and never again.
h3. Acceptance criteria
* (/) The secret is not stored or re-displayed anywhere.
* (/) Deletion requires an explicit confirmation.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</si>
  <si>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AD-20 — Permission catalog table</t>
  </si>
  <si>
    <t xml:space="preserve">*Screen:* FE-AD-IAM-PERMS
*API contract:* GET /platform/iam/permissions
h3. Requirements
# Filters on system and severity.
# Columns: code, Arabic name, system, module, severity, dual flag, role count, user count.
h3. Acceptance criteria
* (/) Filtering happens server-side through filter[*], not in the browser.
* (/) Counts are printed exactly as returned.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</si>
  <si>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AD-21 — Permission holders panel</t>
  </si>
  <si>
    <t xml:space="preserve">*Screen:* FE-AD-IAM-PERMS
*API contract:* GET /platform/iam/permissions/{code}/holders
h3. Requirements
# Open a side panel from a table row showing roles, users and last usage.
h3. Acceptance criteria
* (/) It is a side panel, not a full page, and contains no edit actions.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</si>
  <si>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AD-22 — Roles list</t>
  </si>
  <si>
    <t xml:space="preserve">*Screen:* FE-AD-IAM-ROLES
*API contract:* GET /platform/iam/roles · filter[system]
h3. Requirements
# Filter on system and mark builtin roles.
# Show the role status (draft or active) prominently.
h3. Acceptance criteria
* (/) A builtin role has no delete control in the tree at all.
* (/) Status is visible without opening the role.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</si>
  <si>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AD-23 — Create role with mandatory preview</t>
  </si>
  <si>
    <t xml:space="preserve">*Screen:* FE-AD-IAM-ROLES
*API contract:* POST /platform/iam/roles/preview then POST /platform/iam/roles
h3. Requirements
# Fields: name, key, system, description, permissions, optional copy_from_role_id.
# Preview first and render summary_ar together with sod_conflicts.
# The created role status is draft, never active.
h3. Acceptance criteria
* (/) Saving without a successful preview is impossible from the UI.
* (/) A SoD conflict blocks continuation and is explained in plain language.
* (/) The new role appears with status draft.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</si>
  <si>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AD-22 AD-04</t>
  </si>
  <si>
    <t xml:space="preserve">AD-24 — Approve role by a second user</t>
  </si>
  <si>
    <t xml:space="preserve">*Screen:* FE-AD-IAM-ROLES
*API contract:* POST /platform/iam/roles/{id}/approve · { reason }
h3. Requirements
# Approval requires a written reason.
# The creator approving their own role receives 403 from the server.
h3. Acceptance criteria
* (/) The 403 is surfaced clearly and never swallowed.
* (/) Status moves to active only after approval.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</si>
  <si>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AD-23 AD-05</t>
  </si>
  <si>
    <t xml:space="preserve">AD-25 — Replace role permissions</t>
  </si>
  <si>
    <t xml:space="preserve">*Screen:* FE-AD-IAM-ROLES
*API contract:* PUT /platform/iam/roles/{id}/permissions · { permissions, reason }
h3. Requirements
# Show a before and after diff of the permission set.
# reason is mandatory through the shared modal.
h3. Acceptance criteria
* (/) The diff is shown before submission, not after.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</si>
  <si>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AD-26 — Bulk role assignment</t>
  </si>
  <si>
    <t xml:space="preserve">*Screen:* FE-AD-IAM-ASSIGN
*API contract:* POST /platform/iam/assignments · max 50 user_ids
h3. Requirements
# Cap the selection at fifty user ids per request.
# Render the result split into assigned and rejected with a reason per rejection.
h3. Acceptance criteria
* (/) The UI prevents exceeding fifty before the request is built.
* (/) A full-success message is never shown when rejections exist.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</si>
  <si>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AD-27 — Revoke assignment</t>
  </si>
  <si>
    <t xml:space="preserve">*Screen:* FE-AD-IAM-ASSIGN
*API contract:* DELETE /platform/iam/assignments · { user_id, role_id, reason }
h3. Requirements
# Explicit confirmation plus a written reason.
h3. Acceptance criteria
* (/) Revocation cannot proceed without a reason.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</si>
  <si>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AD-28 — Access decision simulator</t>
  </si>
  <si>
    <t xml:space="preserve">*Screen:* FE-AD-IAM-SIM
*API contract:* IAM simulate · decision_path
h3. Requirements
# Form fields: user_type, user_id, permission, resource_type, resource_id.
# Render decision_path layer by layer with the pass or fail outcome of each layer.
h3. Acceptance criteria
* (/) The screen is read-only with no mutation controls.
* (/) Every layer in decision_path is displayed in order.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</si>
  <si>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AD-29 — Temporary grants</t>
  </si>
  <si>
    <t xml:space="preserve">*Screen:* FE-AD-IAM-TEMP
*API contract:* IAM temp grant routes
h3. Requirements
# duration_minutes must not exceed 240.
# reason must be at least twenty characters.
# Approval is a separate step with { decision, reason }.
h3. Acceptance criteria
* (/) The request is created as pending_approval and is not active immediately.
* (/) The UI blocks a duration above 240 minutes.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</si>
  <si>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AD-04 AD-05</t>
  </si>
  <si>
    <t xml:space="preserve">AD-30 — Segregation of duties rules (read-only)</t>
  </si>
  <si>
    <t xml:space="preserve">*Screen:* FE-AD-IAM-SOD
*API contract:* GET /platform/iam/sod-rules
h3. Requirements
# List the SoD rules for reading only.
h3. Acceptance criteria
* (/) No rule editor and no write controls exist in L1.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</si>
  <si>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AD-31 — Dual-approval inbox and decisions</t>
  </si>
  <si>
    <t xml:space="preserve">*Screen:* FE-AD-IAM-INBOX
*API contract:* GET /platform/iam/approval-requests?filter[status]=pending · POST .../{id}/decide
h3. Requirements
# List pending requests with enough detail to decide.
# Decide with { decision: approve|reject, reason }.
# The approver must differ from the requester.
h3. Acceptance criteria
* (/) A requester attempting to approve their own request sees the server message clearly.
* (/) A decided request leaves the list without a manual refresh.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</si>
  <si>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AD-32 — Audit log screen</t>
  </si>
  <si>
    <t xml:space="preserve">*Screen:* FE-AD-AUDIT
*API contract:* GET /platform/audit
h3. Requirements
# Filters: actor, action, channel_id and a date range.
# Row detail: before and after values, IP address and impersonation flag.
h3. Acceptance criteria
* (/) The before/after diff is readable, not a raw JSON blob.
* (/) The date range is applied server-side, not by local filtering.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</si>
  <si>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AD-33 — Audit export</t>
  </si>
  <si>
    <t xml:space="preserve">*Screen:* FE-AD-AUDIT
*API contract:* POST /platform/audit/export · { filters, format: "xlsx" }
h3. Requirements
# Send the active filters and receive job_id.
# Hand the job to the background handler.
h3. Acceptance criteria
* (/) The UI does not wait for the file on the same request.
* (/) The exported set matches the active filters, not the page.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</si>
  <si>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AD-06 AD-07 AD-32</t>
  </si>
  <si>
    <t xml:space="preserve">AD-34 — Quarterly access review</t>
  </si>
  <si>
    <t xml:space="preserve">*Screen:* FE-AD-IAM-REVIEW
*API contract:* Access review campaign routes
h3. Requirements
# Start a campaign with { quarter, scope } and show the resulting item count.
# Campaign detail: each item marked keep or revoke with a reason.
# Show campaign progress as a decided-item ratio.
h3. Acceptance criteria
* (/) The UI must not mark the campaign closed while items are undecided.
* (/) Every decision carries a reason.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</si>
  <si>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AD-02 AD-04</t>
  </si>
  <si>
    <t xml:space="preserve">AD-40 — Reference screen factory</t>
  </si>
  <si>
    <t xml:space="preserve">*API contract:* Shared pattern for all reference entities
h3. Requirements
# One configurable component covering list, create, update with reason, and enable/disable with an impact modal followed by confirm.
# Unified handling of 409 ref_in_use.
# No hard delete on any reference entity.
# Entity specifics live in a config file, never inside the factory.
h3. Acceptance criteria
* (/) Adding a new reference entity requires one config file and no new components.
* (/) A test proves all seven entities consume the same factory.
h3. Out of scope
* Entity-specific business logic inside the factory itself.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</si>
  <si>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AD-02 AD-04 AD-05</t>
  </si>
  <si>
    <t xml:space="preserve">AD-41 — Governorates reference</t>
  </si>
  <si>
    <t xml:space="preserve">*Screen:* FE-AD-REFS
*API contract:* EP-AD-030 / 031 · update 042A · status 043A
h3. Requirements
# Configure list, create, update and status toggle on the factory.
h3. Acceptance criteria
* (/) Update requires a reason.
* (/) No hard delete control exists.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</si>
  <si>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AD-42 — Zones reference — non-standard status route</t>
  </si>
  <si>
    <t xml:space="preserve">*Screen:* FE-AD-REFS
*API contract:* EP-AD-032 / 033 (filter[governorate_id]) · update 042B · status 034, NOT 043
h3. Requirements
# List supports filter[governorate_id].
# The status toggle uses route 034, not the 043 family. This is a documented exception in the brief.
h3. Acceptance criteria
* (/) A contract test prevents drifting to 043 for zones.
* (/) The governorate filter is applied server-side.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</si>
  <si>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AD-43 — Activity types reference</t>
  </si>
  <si>
    <t xml:space="preserve">*Screen:* FE-AD-REFS
*API contract:* EP-AD-035A / B · 042C · 043B
h3. Requirements
# Configure the entity on the factory.
h3. Acceptance criteria
* (/) The shared pattern works with no additional code.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</si>
  <si>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AD-44 — Root categories reference</t>
  </si>
  <si>
    <t xml:space="preserve">*Screen:* FE-AD-REFS
*API contract:* EP-AD-036A / B · 042D · 043C
h3. Requirements
# Configure the entity and handle 409 ref_in_use on disable.
h3. Acceptance criteria
* (/) 409 is presented as an understandable reason, not a generic error.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</si>
  <si>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AD-45 — Sale units reference</t>
  </si>
  <si>
    <t xml:space="preserve">*Screen:* FE-AD-REFS
*API contract:* EP-AD-037A / B · 042E · 043D
h3. Requirements
# Configure the entity; disabling a unit in use returns 409.
h3. Acceptance criteria
* (/) The in-use rejection is shown clearly with the affected context.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</si>
  <si>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AD-46 — Equipment reference</t>
  </si>
  <si>
    <t xml:space="preserve">*Screen:* FE-AD-REFS
*API contract:* EP-AD-038A / B · 042F · 043E
h3. Requirements
# Configure the entity on the factory.
h3. Acceptance criteria
* (/) The shared pattern works with no additional code.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</si>
  <si>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AD-47 — Currencies reference and decimals</t>
  </si>
  <si>
    <t xml:space="preserve">*Screen:* FE-AD-REFS
*API contract:* EP-AD-039A / B · 042G · 043F · permission ad.refs.currency
h3. Requirements
# Manage currencies including the decimals field that governs every money display in the product.
# The nav item requires ad.refs.currency rather than ad.refs.view.
h3. Acceptance criteria
* (/) Display respects decimals per currency.
* (/) SYP renders with no decimal places.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</si>
  <si>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AD-40 FE-CORE-11</t>
  </si>
  <si>
    <t xml:space="preserve">AD-48 — FX rates</t>
  </si>
  <si>
    <t xml:space="preserve">*Screen:* FE-AD-REFS
*API contract:* GET and POST /platform/refs/fx-rates
h3. Requirements
# rate is an integer, sent exactly as the server expects.
# Setting is_display_currency replaces the previous display currency and the UI states this explicitly.
h3. Acceptance criteria
* (/) No float type appears anywhere on the screen.
* (/) No copy claims that open orders will reprice.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</si>
  <si>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AD-49 — Zone disable impact modal</t>
  </si>
  <si>
    <t xml:space="preserve">*Screen:* FE-AD-REFS
*API contract:* affected payload on EP-AD-034 · REQ-AD-031
h3. Requirements
# Show affected.retailers, affected.reps and affected.open_orders before the second confirm.
# Two-step confirmation is mandatory.
h3. Acceptance criteria
* (/) Disabling a zone cannot complete in a single step.
* (/) The counts are printed as returned with no derivation.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</si>
  <si>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AD-50 — Reference import with dry run</t>
  </si>
  <si>
    <t xml:space="preserve">*Screen:* FE-AD-REFS-IMPORT
*API contract:* Multipart import · type + dry_run
h3. Requirements
# Upload multipart with a type value and dry_run=true first.
# Render preview rows plus errors[{row, column, message}].
# Execute the same file with dry_run=false and a new idempotency key.
h3. Acceptance criteria
* (/) Execution without a successful preview is impossible from the UI.
* (/) Every row error points to an exact row and column.
* (/) The execute call uses a fresh idempotency key, not the preview key.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</si>
  <si>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AD-40 FE-CORE-03</t>
  </si>
  <si>
    <t xml:space="preserve">AD-60 — Channels list</t>
  </si>
  <si>
    <t xml:space="preserve">*Screen:* FE-AD-CH-LIST
*API contract:* GET /platform/channels
h3. Requirements
# Filters: status, plan_id, governorate_id, subscription_status, over_limit, idle.
# Columns come from the server: name, status, plan, governorates, retailers, reps, orders, GMV.
# Zeros are printed as zeros.
h3. Acceptance criteria
* (/) No figure is derived, estimated or invented — GMV especially.
* (/) All filters operate server-side through filter[*].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</si>
  <si>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AD-61 — Channels list export</t>
  </si>
  <si>
    <t xml:space="preserve">*Screen:* FE-AD-CH-LIST
*API contract:* EP-AD-059C
h3. Requirements
# Export with the active filters through the background job handler.
h3. Acceptance criteria
* (/) The current page is never used as the export scope.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</si>
  <si>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AD-07 AD-60</t>
  </si>
  <si>
    <t xml:space="preserve">AD-62 — Bulk notify channel managers</t>
  </si>
  <si>
    <t xml:space="preserve">*Screen:* FE-AD-CH-LIST
*API contract:* EP-AD-068 · max 50 channels
h3. Requirements
# Select up to fifty channels and notify their managers.
# Show the per-channel result.
h3. Acceptance criteria
* (/) The counter blocks selection beyond fifty before sending.
* (/) The result separates delivered from rejected.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</si>
  <si>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AD-63 — Plan change with preview</t>
  </si>
  <si>
    <t xml:space="preserve">*Screen:* FE-AD-CH-LIST
*API contract:* EP-AD-059A preview · EP-AD-059B apply
h3. Requirements
# Preview returns a delta of limits and features; render it before applying.
# Apply carries a reason.
h3. Acceptance criteria
* (/) The delta is visible before confirmation.
* (/) Applying without a preview is impossible.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</si>
  <si>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AD-60 AD-04</t>
  </si>
  <si>
    <t xml:space="preserve">AD-64a — Create channel — legal identity and documents</t>
  </si>
  <si>
    <t xml:space="preserve">*Screen:* FE-AD-CH-CREATE
*API contract:* POST /platform/channels · EP-AD-051 (first section)
h3. Requirements
# Fields: name, slug, legal form, commercial register, documents, logo, internal note.
# Document upload shows clear, retryable failure states.
h3. Acceptance criteria
* (/) slug uniqueness is validated by the server, not only locally.
* (/) A failed upload can be retried without losing the rest of the form.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</si>
  <si>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AD-64b — Create channel — coverage, subscription and limits</t>
  </si>
  <si>
    <t xml:space="preserve">*Screen:* FE-AD-CH-CREATE
*API contract:* POST /platform/channels · EP-AD-051 (second section)
h3. Requirements
# Fields: governorates, zones, activities, plan, billing cycle, trial days, limits, discount.
# Selecting a governorate constrains the available zones.
# All limits and discounts are integers.
h3. Acceptance criteria
* (/) No float appears in any limit or discount field.
* (/) Zone options are always a subset of the selected governorates.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</si>
  <si>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AD-64a FE-CORE-11</t>
  </si>
  <si>
    <t xml:space="preserve">AD-64c — Create channel — manager, invite and submit</t>
  </si>
  <si>
    <t xml:space="preserve">*Screen:* FE-AD-CH-CREATE
*API contract:* POST /platform/channels · EP-AD-051 (submit)
h3. Requirements
# Manager block: { name, phone, email, invite_via }.
# Submit with one idempotency key per confirm tap.
# The response returns in well under 500ms with status provisioning and provisioning_job_id.
# Do not wait for active on this request; open the channel card immediately.
h3. Acceptance criteria
* (/) A retry after a dropped connection does not create two channels.
* (/) The UI navigates to the card as soon as the response arrives.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</si>
  <si>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AD-64b FE-CORE-03</t>
  </si>
  <si>
    <t xml:space="preserve">AD-65 — Provisioning poll and retry</t>
  </si>
  <si>
    <t xml:space="preserve">*Screen:* FE-AD-CH-CREATE
*API contract:* GET /platform/channels/{id} (EP-AD-052) · retry EP-AD-053 (idempotent)
h3. Requirements
# Poll the channel until it reaches active or fails.
# On failure, expose a Retry action backed by the idempotent retry endpoint.
# Polling stops at a terminal state and has a bounded ceiling.
h3. Acceptance criteria
* (/) The create request never blocks waiting for active.
* (/) Polling terminates and does not run indefinitely.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</si>
  <si>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AD-64c AD-06</t>
  </si>
  <si>
    <t xml:space="preserve">AD-66 — Channel card shell and tabs</t>
  </si>
  <si>
    <t xml:space="preserve">*Screen:* FE-AD-CH-CARD
*API contract:* GET /platform/channels/{id} · EP-AD-052
h3. Requirements
# Render the DOC-07 tab set with lazy loading per tab.
# KPI tiles print server zeros or hide entirely when every value is zero.
h3. Acceptance criteria
* (/) A tab does not fetch before it is opened.
* (/) No fake sparkline and no derived figure appears on the card.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</si>
  <si>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AD-67 — Card — overview tab and edit</t>
  </si>
  <si>
    <t xml:space="preserve">*Screen:* FE-AD-CH-CARD
*API contract:* GET EP-AD-052 · PUT EP-AD-062
h3. Requirements
# Display the channel record and allow editing with a mandatory reason.
h3. Acceptance criteria
* (/) Editing goes through the reason modal.
* (/) 422 paints the named fields.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</si>
  <si>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AD-66 AD-04</t>
  </si>
  <si>
    <t xml:space="preserve">AD-68 — Card — users tab (read only)</t>
  </si>
  <si>
    <t xml:space="preserve">*Screen:* FE-AD-CH-CARD
*API contract:* EP-AD-063
h3. Requirements
# List the channel users for reading.
h3. Acceptance criteria
* (/) No write controls exist on the tab.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</si>
  <si>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AD-69 — Card — manager tab and invite reset (crit)</t>
  </si>
  <si>
    <t xml:space="preserve">*Screen:* FE-AD-CH-CARD
*API contract:* EP-AD-064
h3. Requirements
# Reset the manager invite with a 72-hour validity through the crit path.
h3. Acceptance criteria
* (/) The action passes through the password-confirm modal.
* (/) The validity window is stated to the user.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</si>
  <si>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AD-03 AD-66</t>
  </si>
  <si>
    <t xml:space="preserve">AD-70 — Card — coverage tab and overlap warning</t>
  </si>
  <si>
    <t xml:space="preserve">*Screen:* FE-AD-CH-CARD
*API contract:* EP-AD-065A / 065B
h3. Requirements
# Render zones as a map or list.
# Warn on overlap with other channels before saving.
# Save carries a reason.
h3. Acceptance criteria
* (/) The overlap warning appears before the save, not after.
* (/) Saving without a reason is impossible.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</si>
  <si>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AD-71 — Card — warehouses tab (read only)</t>
  </si>
  <si>
    <t xml:space="preserve">*Screen:* FE-AD-CH-CARD
*API contract:* EP-AD-066
h3. Requirements
# List the channel warehouses for reading.
h3. Acceptance criteria
* (/) No create or edit action exists in L1.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</si>
  <si>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AD-72 — Card — features tab and plan precedence</t>
  </si>
  <si>
    <t xml:space="preserve">*Screen:* FE-AD-CH-CARD
*API contract:* EP-AD-067
h3. Requirements
# Show the effective value and state whether it comes from the plan or from an override.
h3. Acceptance criteria
* (/) The source of every value is labelled next to it.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</si>
  <si>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AD-73 — Card — usage tab</t>
  </si>
  <si>
    <t xml:space="preserve">*Screen:* FE-AD-CH-CARD
*API contract:* EP-AD-056 · range=30d
h3. Requirements
# Render the 30-day usage series exactly as returned.
h3. Acceptance criteria
* (/) An empty or all-zero series is acceptable and rendered as such.
* (/) No gap filling and no smoothing is applied.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</si>
  <si>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AD-74 — Card — limits tab and temporary override</t>
  </si>
  <si>
    <t xml:space="preserve">*Screen:* FE-AD-CH-CARD
*API contract:* EP-AD-055
h3. Requirements
# Override limits with temporary_until and a reason.
# All limits are integers.
h3. Acceptance criteria
* (/) temporary_until is mandatory for a temporary override.
* (/) No float is accepted in any limit field.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</si>
  <si>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AD-66 AD-04 FE-CORE-11</t>
  </si>
  <si>
    <t xml:space="preserve">AD-75 — Card — status tab driven by allowed_next</t>
  </si>
  <si>
    <t xml:space="preserve">*Screen:* FE-AD-CH-CARD
*API contract:* EP-AD-054
h3. Requirements
# Buttons are derived exclusively from the allowed_next array returned by the server.
# There is no active → archived control because that transition does not exist.
h3. Acceptance criteria
* (/) No transition button is rendered that is absent from allowed_next.
* (/) illegal_transition stops the operation and shows the server message.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</si>
  <si>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AD-66 AD-05</t>
  </si>
  <si>
    <t xml:space="preserve">AD-76 — Card — export tab</t>
  </si>
  <si>
    <t xml:space="preserve">*Screen:* FE-AD-CH-CARD
*API contract:* EP-AD-057
h3. Requirements
# Confirm the password, then create an export job.
h3. Acceptance criteria
* (/) The response job_id is handed to the background handler.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</si>
  <si>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AD-03 AD-06</t>
  </si>
  <si>
    <t xml:space="preserve">AD-77 — Card — multi-barrier channel deletion</t>
  </si>
  <si>
    <t xml:space="preserve">*Screen:* FE-AD-CH-CARD
*API contract:* EP-AD-058 → deletion_request_id
h3. Requirements
# The control appears only when the channel status is archived.
# Barriers: type the exact channel name, then password, then a 2FA code, then a second approver.
# The response is a deletion request, not an execution.
h3. Acceptance criteria
* (/) The UI shows "Sent for approval" and never the word deleted.
* (/) The control is absent in every status other than archived.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</si>
  <si>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AD-03 AD-05 AD-75</t>
  </si>
  <si>
    <t xml:space="preserve">AD-78 — Channel join applications</t>
  </si>
  <si>
    <t xml:space="preserve">*Screen:* FE-AD-CH-APPS
*API contract:* GET /platform/channel-applications?filter[status]=under_review
h3. Requirements
# List applications filtered on under_review.
# Decide approve or reject with a reason; approval also carries plan_id and trial_days.
# Approval produces a channel in provisioning.
h3. Acceptance criteria
* (/) An approved application hands off to the AD-65 provisioning path.
* (/) Rejection requires a written reason.
h3. Definition of done
* (/) Runs against real staging — no mock data in the merged branch.
* (/) HTTP 422 paints the named fields from error.details.{field}, never a generic banner.
* (/) Every write carries X-Idempotency-Key tied to the confirm tap; a network retry reuses the same key.
* (/) Permissions drive visibility: a control the user cannot use is absent or disabled.
* (/) Loading, empty, error and offline states are all implemented.
* (/) RTL layout is correct and every amount, limit and FX rate is an integer.
* (/) No request is made to any path outside the L1 allowlist (enforced by FE-CORE-10).
* (/) The PR contains a screenshot or GIF of the journey and names the EP-ID used.
* (/) Zero console errors and zero new lint warnings.</t>
  </si>
  <si>
    <t xml:space="preserve">AD-02 AD-65</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</si>
</sst>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0"/>
      <color rgb="FF595959"/>
      <name val="Arial"/>
      <family val="0"/>
      <charset val="1"/>
    </font>
    <font>
      <b val="true"/>
      <sz val="13"/>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b val="true"/>
      <sz val="9"/>
      <color rgb="FF1F3864"/>
      <name val="Arial"/>
      <family val="0"/>
      <charset val="1"/>
    </font>
    <font>
      <sz val="9"/>
      <color rgb="FF000000"/>
      <name val="Arial"/>
      <family val="0"/>
      <charset val="1"/>
    </font>
    <font>
      <b val="true"/>
      <sz val="14"/>
      <color rgb="FF1F3864"/>
      <name val="Arial"/>
      <family val="0"/>
      <charset val="1"/>
    </font>
    <font>
      <b val="true"/>
      <sz val="12"/>
      <color rgb="FF1F3864"/>
      <name val="Arial"/>
      <family val="0"/>
      <charset val="1"/>
    </font>
    <font>
      <sz val="9"/>
      <name val="Arial"/>
      <family val="0"/>
      <charset val="1"/>
    </font>
  </fonts>
  <fills count="9">
    <fill>
      <patternFill patternType="none"/>
    </fill>
    <fill>
      <patternFill patternType="gray125"/>
    </fill>
    <fill>
      <patternFill patternType="solid">
        <fgColor rgb="FFFFFFFF"/>
        <bgColor rgb="FFF2F5FB"/>
      </patternFill>
    </fill>
    <fill>
      <patternFill patternType="solid">
        <fgColor rgb="FFF2F5FB"/>
        <bgColor rgb="FFFFFFFF"/>
      </patternFill>
    </fill>
    <fill>
      <patternFill patternType="solid">
        <fgColor rgb="FF1F3864"/>
        <bgColor rgb="FF333333"/>
      </patternFill>
    </fill>
    <fill>
      <patternFill patternType="solid">
        <fgColor rgb="FFF4CCCC"/>
        <bgColor rgb="FFFCE5CD"/>
      </patternFill>
    </fill>
    <fill>
      <patternFill patternType="solid">
        <fgColor rgb="FFFCE5CD"/>
        <bgColor rgb="FFFFF2CC"/>
      </patternFill>
    </fill>
    <fill>
      <patternFill patternType="solid">
        <fgColor rgb="FFFFF2CC"/>
        <bgColor rgb="FFFCE5CD"/>
      </patternFill>
    </fill>
    <fill>
      <patternFill patternType="solid">
        <fgColor rgb="FFE2EFDA"/>
        <bgColor rgb="FFF2F5FB"/>
      </patternFill>
    </fill>
  </fills>
  <borders count="2">
    <border diagonalUp="false" diagonalDown="false">
      <left/>
      <right/>
      <top/>
      <bottom/>
      <diagonal/>
    </border>
    <border diagonalUp="false" diagonalDown="false">
      <left style="thin">
        <color rgb="FFB4C0D8"/>
      </left>
      <right style="thin">
        <color rgb="FFB4C0D8"/>
      </right>
      <top style="thin">
        <color rgb="FFB4C0D8"/>
      </top>
      <bottom style="thin">
        <color rgb="FFB4C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5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7B6C"/>
      <rgbColor rgb="FFB4C0D8"/>
      <rgbColor rgb="FF7F7F7F"/>
      <rgbColor rgb="FF9999FF"/>
      <rgbColor rgb="FF7030A0"/>
      <rgbColor rgb="FFFFF2CC"/>
      <rgbColor rgb="FFF2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5CD"/>
      <rgbColor rgb="FF99CCFF"/>
      <rgbColor rgb="FFFF99CC"/>
      <rgbColor rgb="FFCC99FF"/>
      <rgbColor rgb="FFF4CCCC"/>
      <rgbColor rgb="FF3366FF"/>
      <rgbColor rgb="FF33CCCC"/>
      <rgbColor rgb="FF99CC00"/>
      <rgbColor rgb="FFFFCC00"/>
      <rgbColor rgb="FFBF8F00"/>
      <rgbColor rgb="FFC55A11"/>
      <rgbColor rgb="FF595959"/>
      <rgbColor rgb="FF969696"/>
      <rgbColor rgb="FF1F3864"/>
      <rgbColor rgb="FF339966"/>
      <rgbColor rgb="FF003300"/>
      <rgbColor rgb="FF333300"/>
      <rgbColor rgb="FF9C2A21"/>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41"/>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8"/>
  </cols>
  <sheetData>
    <row r="1" customFormat="false" ht="27.75" hidden="false" customHeight="true" outlineLevel="0" collapsed="false">
      <c r="A1" s="1" t="s">
        <v>0</v>
      </c>
    </row>
    <row r="2" customFormat="false" ht="15" hidden="false" customHeight="false" outlineLevel="0" collapsed="false">
      <c r="A2" s="2" t="s">
        <v>1</v>
      </c>
    </row>
    <row r="4" customFormat="false" ht="16.15" hidden="false" customHeight="false" outlineLevel="0" collapsed="false">
      <c r="A4" s="3" t="s">
        <v>2</v>
      </c>
    </row>
    <row r="5" customFormat="false" ht="13.5" hidden="false" customHeight="true" outlineLevel="0" collapsed="false">
      <c r="A5" s="4" t="s">
        <v>3</v>
      </c>
      <c r="B5" s="5" t="s">
        <v>4</v>
      </c>
    </row>
    <row r="6" customFormat="false" ht="13.5" hidden="false" customHeight="true" outlineLevel="0" collapsed="false">
      <c r="A6" s="6" t="s">
        <v>5</v>
      </c>
      <c r="B6" s="7" t="s">
        <v>6</v>
      </c>
    </row>
    <row r="7" customFormat="false" ht="13.5" hidden="false" customHeight="true" outlineLevel="0" collapsed="false">
      <c r="A7" s="4" t="s">
        <v>7</v>
      </c>
      <c r="B7" s="5" t="s">
        <v>8</v>
      </c>
    </row>
    <row r="8" customFormat="false" ht="13.5" hidden="false" customHeight="true" outlineLevel="0" collapsed="false">
      <c r="A8" s="6" t="s">
        <v>9</v>
      </c>
      <c r="B8" s="7" t="s">
        <v>10</v>
      </c>
    </row>
    <row r="9" customFormat="false" ht="13.5" hidden="false" customHeight="true" outlineLevel="0" collapsed="false">
      <c r="A9" s="4" t="s">
        <v>11</v>
      </c>
      <c r="B9" s="5" t="s">
        <v>12</v>
      </c>
    </row>
    <row r="10" customFormat="false" ht="13.5" hidden="false" customHeight="true" outlineLevel="0" collapsed="false">
      <c r="A10" s="6" t="s">
        <v>13</v>
      </c>
      <c r="B10" s="7" t="s">
        <v>14</v>
      </c>
    </row>
    <row r="11" customFormat="false" ht="13.5" hidden="false" customHeight="true" outlineLevel="0" collapsed="false">
      <c r="A11" s="4" t="s">
        <v>15</v>
      </c>
      <c r="B11" s="5" t="s">
        <v>16</v>
      </c>
    </row>
    <row r="12" customFormat="false" ht="13.5" hidden="false" customHeight="true" outlineLevel="0" collapsed="false">
      <c r="A12" s="6" t="s">
        <v>17</v>
      </c>
      <c r="B12" s="7" t="s">
        <v>18</v>
      </c>
    </row>
    <row r="13" customFormat="false" ht="13.5" hidden="false" customHeight="true" outlineLevel="0" collapsed="false">
      <c r="A13" s="4" t="s">
        <v>19</v>
      </c>
      <c r="B13" s="5" t="s">
        <v>20</v>
      </c>
    </row>
    <row r="14" customFormat="false" ht="13.5" hidden="false" customHeight="true" outlineLevel="0" collapsed="false">
      <c r="A14" s="6" t="s">
        <v>21</v>
      </c>
      <c r="B14" s="7" t="s">
        <v>22</v>
      </c>
    </row>
    <row r="15" customFormat="false" ht="13.5" hidden="false" customHeight="true" outlineLevel="0" collapsed="false">
      <c r="A15" s="4" t="s">
        <v>23</v>
      </c>
      <c r="B15" s="5" t="s">
        <v>24</v>
      </c>
    </row>
    <row r="17" customFormat="false" ht="16.15" hidden="false" customHeight="false" outlineLevel="0" collapsed="false">
      <c r="A17" s="3" t="s">
        <v>25</v>
      </c>
    </row>
    <row r="18" customFormat="false" ht="13.5" hidden="false" customHeight="true" outlineLevel="0" collapsed="false">
      <c r="A18" s="4" t="s">
        <v>26</v>
      </c>
      <c r="B18" s="5" t="s">
        <v>27</v>
      </c>
    </row>
    <row r="19" customFormat="false" ht="13.5" hidden="false" customHeight="true" outlineLevel="0" collapsed="false">
      <c r="A19" s="6" t="s">
        <v>28</v>
      </c>
      <c r="B19" s="7" t="s">
        <v>29</v>
      </c>
    </row>
    <row r="20" customFormat="false" ht="13.5" hidden="false" customHeight="true" outlineLevel="0" collapsed="false">
      <c r="A20" s="4" t="s">
        <v>30</v>
      </c>
      <c r="B20" s="5" t="s">
        <v>31</v>
      </c>
    </row>
    <row r="21" customFormat="false" ht="13.5" hidden="false" customHeight="true" outlineLevel="0" collapsed="false">
      <c r="A21" s="6" t="s">
        <v>32</v>
      </c>
      <c r="B21" s="7" t="s">
        <v>33</v>
      </c>
    </row>
    <row r="22" customFormat="false" ht="13.5" hidden="false" customHeight="true" outlineLevel="0" collapsed="false">
      <c r="A22" s="4" t="s">
        <v>34</v>
      </c>
      <c r="B22" s="5" t="s">
        <v>35</v>
      </c>
    </row>
    <row r="23" customFormat="false" ht="13.5" hidden="false" customHeight="true" outlineLevel="0" collapsed="false">
      <c r="A23" s="6" t="s">
        <v>36</v>
      </c>
      <c r="B23" s="7" t="s">
        <v>37</v>
      </c>
    </row>
    <row r="24" customFormat="false" ht="13.5" hidden="false" customHeight="true" outlineLevel="0" collapsed="false">
      <c r="A24" s="4" t="s">
        <v>38</v>
      </c>
      <c r="B24" s="5" t="s">
        <v>39</v>
      </c>
    </row>
    <row r="25" customFormat="false" ht="13.5" hidden="false" customHeight="true" outlineLevel="0" collapsed="false">
      <c r="A25" s="6" t="s">
        <v>40</v>
      </c>
      <c r="B25" s="7" t="s">
        <v>41</v>
      </c>
    </row>
    <row r="26" customFormat="false" ht="13.5" hidden="false" customHeight="true" outlineLevel="0" collapsed="false">
      <c r="A26" s="4" t="s">
        <v>42</v>
      </c>
      <c r="B26" s="5" t="s">
        <v>43</v>
      </c>
    </row>
    <row r="28" customFormat="false" ht="16.15" hidden="false" customHeight="false" outlineLevel="0" collapsed="false">
      <c r="A28" s="3" t="s">
        <v>44</v>
      </c>
    </row>
    <row r="29" customFormat="false" ht="15" hidden="false" customHeight="false" outlineLevel="0" collapsed="false">
      <c r="A29" s="8" t="s">
        <v>3</v>
      </c>
      <c r="B29" s="9" t="n">
        <f aca="false">COUNTA(Products!A2:A20)</f>
        <v>6</v>
      </c>
    </row>
    <row r="30" customFormat="false" ht="15" hidden="false" customHeight="false" outlineLevel="0" collapsed="false">
      <c r="A30" s="8" t="s">
        <v>5</v>
      </c>
      <c r="B30" s="9" t="n">
        <f aca="false">COUNTA(Epics!A2:A100)</f>
        <v>20</v>
      </c>
    </row>
    <row r="31" customFormat="false" ht="15" hidden="false" customHeight="false" outlineLevel="0" collapsed="false">
      <c r="A31" s="8" t="s">
        <v>45</v>
      </c>
      <c r="B31" s="9" t="n">
        <f aca="false">COUNTA(Backlog!A2:A120)</f>
        <v>119</v>
      </c>
    </row>
    <row r="32" customFormat="false" ht="15" hidden="false" customHeight="false" outlineLevel="0" collapsed="false">
      <c r="A32" s="8" t="s">
        <v>46</v>
      </c>
      <c r="B32" s="9" t="n">
        <f aca="false">SUM(Backlog!N2:N120)</f>
        <v>318</v>
      </c>
    </row>
    <row r="33" customFormat="false" ht="15" hidden="false" customHeight="false" outlineLevel="0" collapsed="false">
      <c r="A33" s="8" t="s">
        <v>47</v>
      </c>
      <c r="B33" s="9" t="n">
        <f aca="false">COUNTA(Dependencies!A2:A400)</f>
        <v>191</v>
      </c>
    </row>
    <row r="35" customFormat="false" ht="16.15" hidden="false" customHeight="false" outlineLevel="0" collapsed="false">
      <c r="A35" s="3" t="s">
        <v>48</v>
      </c>
    </row>
    <row r="36" customFormat="false" ht="27.75" hidden="false" customHeight="true" outlineLevel="0" collapsed="false">
      <c r="A36" s="4" t="s">
        <v>49</v>
      </c>
      <c r="B36" s="5" t="s">
        <v>50</v>
      </c>
    </row>
    <row r="37" customFormat="false" ht="27.75" hidden="false" customHeight="true" outlineLevel="0" collapsed="false">
      <c r="A37" s="6" t="s">
        <v>51</v>
      </c>
      <c r="B37" s="7" t="s">
        <v>52</v>
      </c>
    </row>
    <row r="38" customFormat="false" ht="27.75" hidden="false" customHeight="true" outlineLevel="0" collapsed="false">
      <c r="A38" s="4" t="s">
        <v>53</v>
      </c>
      <c r="B38" s="5" t="s">
        <v>54</v>
      </c>
    </row>
    <row r="39" customFormat="false" ht="13.5" hidden="false" customHeight="true" outlineLevel="0" collapsed="false">
      <c r="A39" s="6" t="s">
        <v>55</v>
      </c>
      <c r="B39" s="7" t="s">
        <v>56</v>
      </c>
    </row>
    <row r="40" customFormat="false" ht="13.5" hidden="false" customHeight="true" outlineLevel="0" collapsed="false">
      <c r="A40" s="4" t="s">
        <v>57</v>
      </c>
      <c r="B40" s="5" t="s">
        <v>58</v>
      </c>
    </row>
    <row r="41" customFormat="false" ht="27.75" hidden="false" customHeight="true" outlineLevel="0" collapsed="false">
      <c r="A41" s="6" t="s">
        <v>59</v>
      </c>
      <c r="B41" s="7" t="s">
        <v>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K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32"/>
    <col collapsed="false" customWidth="true" hidden="false" outlineLevel="0" max="4" min="4" style="0" width="28"/>
    <col collapsed="false" customWidth="true" hidden="false" outlineLevel="0" max="5" min="5" style="0" width="11"/>
    <col collapsed="false" customWidth="true" hidden="false" outlineLevel="0" max="7" min="6" style="0" width="24"/>
    <col collapsed="false" customWidth="true" hidden="false" outlineLevel="0" max="8" min="8" style="0" width="30"/>
    <col collapsed="false" customWidth="true" hidden="false" outlineLevel="0" max="9" min="9" style="0" width="28"/>
    <col collapsed="false" customWidth="true" hidden="false" outlineLevel="0" max="11" min="10" style="0" width="8"/>
  </cols>
  <sheetData>
    <row r="1" customFormat="false" ht="25.5" hidden="false" customHeight="true" outlineLevel="0" collapsed="false">
      <c r="A1" s="10" t="s">
        <v>61</v>
      </c>
      <c r="B1" s="10" t="s">
        <v>62</v>
      </c>
      <c r="C1" s="10" t="s">
        <v>63</v>
      </c>
      <c r="D1" s="10" t="s">
        <v>64</v>
      </c>
      <c r="E1" s="10" t="s">
        <v>65</v>
      </c>
      <c r="F1" s="10" t="s">
        <v>66</v>
      </c>
      <c r="G1" s="10" t="s">
        <v>67</v>
      </c>
      <c r="H1" s="10" t="s">
        <v>68</v>
      </c>
      <c r="I1" s="10" t="s">
        <v>69</v>
      </c>
      <c r="J1" s="10" t="s">
        <v>45</v>
      </c>
      <c r="K1" s="10" t="s">
        <v>70</v>
      </c>
    </row>
    <row r="2" customFormat="false" ht="51.75" hidden="false" customHeight="true" outlineLevel="0" collapsed="false">
      <c r="A2" s="11" t="s">
        <v>71</v>
      </c>
      <c r="B2" s="12" t="s">
        <v>72</v>
      </c>
      <c r="C2" s="12" t="s">
        <v>73</v>
      </c>
      <c r="D2" s="12" t="s">
        <v>74</v>
      </c>
      <c r="E2" s="13" t="s">
        <v>75</v>
      </c>
      <c r="F2" s="12" t="s">
        <v>76</v>
      </c>
      <c r="G2" s="12" t="s">
        <v>77</v>
      </c>
      <c r="H2" s="12" t="s">
        <v>78</v>
      </c>
      <c r="I2" s="12" t="s">
        <v>79</v>
      </c>
      <c r="J2" s="13" t="n">
        <v>10</v>
      </c>
      <c r="K2" s="13" t="n">
        <v>36</v>
      </c>
    </row>
    <row r="3" customFormat="false" ht="28.5" hidden="false" customHeight="true" outlineLevel="0" collapsed="false">
      <c r="A3" s="14" t="s">
        <v>80</v>
      </c>
      <c r="B3" s="15" t="s">
        <v>81</v>
      </c>
      <c r="C3" s="15" t="s">
        <v>82</v>
      </c>
      <c r="D3" s="15" t="s">
        <v>83</v>
      </c>
      <c r="E3" s="16" t="s">
        <v>84</v>
      </c>
      <c r="F3" s="15" t="s">
        <v>85</v>
      </c>
      <c r="G3" s="15" t="s">
        <v>86</v>
      </c>
      <c r="H3" s="15" t="s">
        <v>87</v>
      </c>
      <c r="I3" s="15" t="s">
        <v>88</v>
      </c>
      <c r="J3" s="16" t="n">
        <v>18</v>
      </c>
      <c r="K3" s="16" t="n">
        <v>44</v>
      </c>
    </row>
    <row r="4" customFormat="false" ht="40.5" hidden="false" customHeight="true" outlineLevel="0" collapsed="false">
      <c r="A4" s="11" t="s">
        <v>89</v>
      </c>
      <c r="B4" s="12" t="s">
        <v>81</v>
      </c>
      <c r="C4" s="12" t="s">
        <v>90</v>
      </c>
      <c r="D4" s="12" t="s">
        <v>91</v>
      </c>
      <c r="E4" s="13" t="s">
        <v>84</v>
      </c>
      <c r="F4" s="12" t="s">
        <v>92</v>
      </c>
      <c r="G4" s="12" t="s">
        <v>93</v>
      </c>
      <c r="H4" s="12" t="s">
        <v>94</v>
      </c>
      <c r="I4" s="12" t="s">
        <v>95</v>
      </c>
      <c r="J4" s="13" t="n">
        <v>10</v>
      </c>
      <c r="K4" s="13" t="n">
        <v>21</v>
      </c>
    </row>
    <row r="5" customFormat="false" ht="28.5" hidden="false" customHeight="true" outlineLevel="0" collapsed="false">
      <c r="A5" s="14" t="s">
        <v>96</v>
      </c>
      <c r="B5" s="15" t="s">
        <v>97</v>
      </c>
      <c r="C5" s="15" t="s">
        <v>98</v>
      </c>
      <c r="D5" s="15" t="s">
        <v>99</v>
      </c>
      <c r="E5" s="16" t="s">
        <v>100</v>
      </c>
      <c r="F5" s="15" t="s">
        <v>101</v>
      </c>
      <c r="G5" s="15" t="s">
        <v>102</v>
      </c>
      <c r="H5" s="15" t="s">
        <v>103</v>
      </c>
      <c r="I5" s="15" t="s">
        <v>104</v>
      </c>
      <c r="J5" s="16" t="n">
        <v>10</v>
      </c>
      <c r="K5" s="16" t="n">
        <v>18</v>
      </c>
    </row>
    <row r="6" customFormat="false" ht="28.5" hidden="false" customHeight="true" outlineLevel="0" collapsed="false">
      <c r="A6" s="11" t="s">
        <v>105</v>
      </c>
      <c r="B6" s="12" t="s">
        <v>97</v>
      </c>
      <c r="C6" s="12" t="s">
        <v>106</v>
      </c>
      <c r="D6" s="12" t="s">
        <v>107</v>
      </c>
      <c r="E6" s="13" t="s">
        <v>108</v>
      </c>
      <c r="F6" s="12" t="s">
        <v>109</v>
      </c>
      <c r="G6" s="12" t="s">
        <v>102</v>
      </c>
      <c r="H6" s="12" t="s">
        <v>110</v>
      </c>
      <c r="I6" s="12" t="s">
        <v>111</v>
      </c>
      <c r="J6" s="13" t="n">
        <v>7</v>
      </c>
      <c r="K6" s="13" t="n">
        <v>13</v>
      </c>
    </row>
    <row r="7" customFormat="false" ht="28.5" hidden="false" customHeight="true" outlineLevel="0" collapsed="false">
      <c r="A7" s="14" t="s">
        <v>112</v>
      </c>
      <c r="B7" s="15" t="s">
        <v>113</v>
      </c>
      <c r="C7" s="15" t="s">
        <v>114</v>
      </c>
      <c r="D7" s="15" t="s">
        <v>99</v>
      </c>
      <c r="E7" s="16" t="s">
        <v>115</v>
      </c>
      <c r="F7" s="15" t="s">
        <v>116</v>
      </c>
      <c r="G7" s="15" t="s">
        <v>117</v>
      </c>
      <c r="H7" s="15" t="s">
        <v>118</v>
      </c>
      <c r="I7" s="15" t="s">
        <v>119</v>
      </c>
      <c r="J7" s="16" t="n">
        <v>64</v>
      </c>
      <c r="K7" s="16" t="n">
        <v>186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K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26"/>
    <col collapsed="false" customWidth="true" hidden="false" outlineLevel="0" max="4" min="4" style="0" width="38"/>
    <col collapsed="false" customWidth="true" hidden="false" outlineLevel="0" max="6" min="5" style="0" width="8"/>
    <col collapsed="false" customWidth="true" hidden="false" outlineLevel="0" max="7" min="7" style="0" width="58"/>
    <col collapsed="false" customWidth="true" hidden="false" outlineLevel="0" max="8" min="8" style="0" width="54"/>
    <col collapsed="false" customWidth="true" hidden="false" outlineLevel="0" max="9" min="9" style="0" width="64"/>
    <col collapsed="false" customWidth="true" hidden="false" outlineLevel="0" max="10" min="10" style="0" width="50"/>
    <col collapsed="false" customWidth="true" hidden="false" outlineLevel="0" max="11" min="11" style="0" width="44"/>
  </cols>
  <sheetData>
    <row r="1" customFormat="false" ht="30" hidden="false" customHeight="true" outlineLevel="0" collapsed="false">
      <c r="A1" s="10" t="s">
        <v>120</v>
      </c>
      <c r="B1" s="10" t="s">
        <v>61</v>
      </c>
      <c r="C1" s="10" t="s">
        <v>121</v>
      </c>
      <c r="D1" s="10" t="s">
        <v>122</v>
      </c>
      <c r="E1" s="10" t="s">
        <v>45</v>
      </c>
      <c r="F1" s="10" t="s">
        <v>70</v>
      </c>
      <c r="G1" s="10" t="s">
        <v>123</v>
      </c>
      <c r="H1" s="10" t="s">
        <v>124</v>
      </c>
      <c r="I1" s="10" t="s">
        <v>125</v>
      </c>
      <c r="J1" s="10" t="s">
        <v>126</v>
      </c>
      <c r="K1" s="10" t="s">
        <v>127</v>
      </c>
    </row>
    <row r="2" customFormat="false" ht="109.5" hidden="false" customHeight="true" outlineLevel="0" collapsed="false">
      <c r="A2" s="11" t="s">
        <v>128</v>
      </c>
      <c r="B2" s="12" t="s">
        <v>71</v>
      </c>
      <c r="C2" s="12" t="s">
        <v>129</v>
      </c>
      <c r="D2" s="12" t="s">
        <v>130</v>
      </c>
      <c r="E2" s="13" t="n">
        <v>2</v>
      </c>
      <c r="F2" s="13" t="n">
        <v>10</v>
      </c>
      <c r="G2" s="12" t="s">
        <v>131</v>
      </c>
      <c r="H2" s="12" t="s">
        <v>132</v>
      </c>
      <c r="I2" s="12" t="s">
        <v>133</v>
      </c>
      <c r="J2" s="12" t="s">
        <v>134</v>
      </c>
      <c r="K2" s="12" t="s">
        <v>135</v>
      </c>
    </row>
    <row r="3" customFormat="false" ht="109.5" hidden="false" customHeight="true" outlineLevel="0" collapsed="false">
      <c r="A3" s="11" t="s">
        <v>136</v>
      </c>
      <c r="B3" s="12" t="s">
        <v>71</v>
      </c>
      <c r="C3" s="12" t="s">
        <v>137</v>
      </c>
      <c r="D3" s="12" t="s">
        <v>138</v>
      </c>
      <c r="E3" s="13" t="n">
        <v>2</v>
      </c>
      <c r="F3" s="13" t="n">
        <v>8</v>
      </c>
      <c r="G3" s="12" t="s">
        <v>131</v>
      </c>
      <c r="H3" s="12" t="s">
        <v>132</v>
      </c>
      <c r="I3" s="12" t="s">
        <v>133</v>
      </c>
      <c r="J3" s="12" t="s">
        <v>134</v>
      </c>
      <c r="K3" s="12" t="s">
        <v>135</v>
      </c>
    </row>
    <row r="4" customFormat="false" ht="109.5" hidden="false" customHeight="true" outlineLevel="0" collapsed="false">
      <c r="A4" s="11" t="s">
        <v>139</v>
      </c>
      <c r="B4" s="12" t="s">
        <v>71</v>
      </c>
      <c r="C4" s="12" t="s">
        <v>140</v>
      </c>
      <c r="D4" s="12" t="s">
        <v>141</v>
      </c>
      <c r="E4" s="13" t="n">
        <v>6</v>
      </c>
      <c r="F4" s="13" t="n">
        <v>18</v>
      </c>
      <c r="G4" s="12" t="s">
        <v>131</v>
      </c>
      <c r="H4" s="12" t="s">
        <v>132</v>
      </c>
      <c r="I4" s="12" t="s">
        <v>133</v>
      </c>
      <c r="J4" s="12" t="s">
        <v>134</v>
      </c>
      <c r="K4" s="12" t="s">
        <v>135</v>
      </c>
    </row>
    <row r="5" customFormat="false" ht="109.5" hidden="false" customHeight="true" outlineLevel="0" collapsed="false">
      <c r="A5" s="14" t="s">
        <v>142</v>
      </c>
      <c r="B5" s="15" t="s">
        <v>80</v>
      </c>
      <c r="C5" s="15" t="s">
        <v>143</v>
      </c>
      <c r="D5" s="15" t="s">
        <v>144</v>
      </c>
      <c r="E5" s="16" t="n">
        <v>6</v>
      </c>
      <c r="F5" s="16" t="n">
        <v>15</v>
      </c>
      <c r="G5" s="15" t="s">
        <v>145</v>
      </c>
      <c r="H5" s="15" t="s">
        <v>146</v>
      </c>
      <c r="I5" s="15" t="s">
        <v>147</v>
      </c>
      <c r="J5" s="15" t="s">
        <v>148</v>
      </c>
      <c r="K5" s="15" t="s">
        <v>149</v>
      </c>
    </row>
    <row r="6" customFormat="false" ht="109.5" hidden="false" customHeight="true" outlineLevel="0" collapsed="false">
      <c r="A6" s="14" t="s">
        <v>150</v>
      </c>
      <c r="B6" s="15" t="s">
        <v>80</v>
      </c>
      <c r="C6" s="15" t="s">
        <v>151</v>
      </c>
      <c r="D6" s="15" t="s">
        <v>152</v>
      </c>
      <c r="E6" s="16" t="n">
        <v>4</v>
      </c>
      <c r="F6" s="16" t="n">
        <v>13</v>
      </c>
      <c r="G6" s="15" t="s">
        <v>145</v>
      </c>
      <c r="H6" s="15" t="s">
        <v>146</v>
      </c>
      <c r="I6" s="15" t="s">
        <v>147</v>
      </c>
      <c r="J6" s="15" t="s">
        <v>148</v>
      </c>
      <c r="K6" s="15" t="s">
        <v>149</v>
      </c>
    </row>
    <row r="7" customFormat="false" ht="109.5" hidden="false" customHeight="true" outlineLevel="0" collapsed="false">
      <c r="A7" s="14" t="s">
        <v>153</v>
      </c>
      <c r="B7" s="15" t="s">
        <v>80</v>
      </c>
      <c r="C7" s="15" t="s">
        <v>154</v>
      </c>
      <c r="D7" s="15" t="s">
        <v>155</v>
      </c>
      <c r="E7" s="16" t="n">
        <v>6</v>
      </c>
      <c r="F7" s="16" t="n">
        <v>11</v>
      </c>
      <c r="G7" s="15" t="s">
        <v>145</v>
      </c>
      <c r="H7" s="15" t="s">
        <v>146</v>
      </c>
      <c r="I7" s="15" t="s">
        <v>147</v>
      </c>
      <c r="J7" s="15" t="s">
        <v>148</v>
      </c>
      <c r="K7" s="15" t="s">
        <v>149</v>
      </c>
    </row>
    <row r="8" customFormat="false" ht="109.5" hidden="false" customHeight="true" outlineLevel="0" collapsed="false">
      <c r="A8" s="14" t="s">
        <v>156</v>
      </c>
      <c r="B8" s="15" t="s">
        <v>80</v>
      </c>
      <c r="C8" s="15" t="s">
        <v>157</v>
      </c>
      <c r="D8" s="15" t="s">
        <v>158</v>
      </c>
      <c r="E8" s="16" t="n">
        <v>2</v>
      </c>
      <c r="F8" s="16" t="n">
        <v>5</v>
      </c>
      <c r="G8" s="15" t="s">
        <v>145</v>
      </c>
      <c r="H8" s="15" t="s">
        <v>146</v>
      </c>
      <c r="I8" s="15" t="s">
        <v>147</v>
      </c>
      <c r="J8" s="15" t="s">
        <v>148</v>
      </c>
      <c r="K8" s="15" t="s">
        <v>149</v>
      </c>
    </row>
    <row r="9" customFormat="false" ht="86.25" hidden="false" customHeight="true" outlineLevel="0" collapsed="false">
      <c r="A9" s="11" t="s">
        <v>159</v>
      </c>
      <c r="B9" s="12" t="s">
        <v>89</v>
      </c>
      <c r="C9" s="12" t="s">
        <v>160</v>
      </c>
      <c r="D9" s="12" t="s">
        <v>161</v>
      </c>
      <c r="E9" s="13" t="n">
        <v>3</v>
      </c>
      <c r="F9" s="13" t="n">
        <v>6</v>
      </c>
      <c r="G9" s="12" t="s">
        <v>162</v>
      </c>
      <c r="H9" s="12" t="s">
        <v>163</v>
      </c>
      <c r="I9" s="12" t="s">
        <v>164</v>
      </c>
      <c r="J9" s="12" t="s">
        <v>165</v>
      </c>
      <c r="K9" s="12" t="s">
        <v>166</v>
      </c>
    </row>
    <row r="10" customFormat="false" ht="86.25" hidden="false" customHeight="true" outlineLevel="0" collapsed="false">
      <c r="A10" s="11" t="s">
        <v>167</v>
      </c>
      <c r="B10" s="12" t="s">
        <v>89</v>
      </c>
      <c r="C10" s="12" t="s">
        <v>168</v>
      </c>
      <c r="D10" s="12" t="s">
        <v>169</v>
      </c>
      <c r="E10" s="13" t="n">
        <v>4</v>
      </c>
      <c r="F10" s="13" t="n">
        <v>9</v>
      </c>
      <c r="G10" s="12" t="s">
        <v>162</v>
      </c>
      <c r="H10" s="12" t="s">
        <v>163</v>
      </c>
      <c r="I10" s="12" t="s">
        <v>164</v>
      </c>
      <c r="J10" s="12" t="s">
        <v>165</v>
      </c>
      <c r="K10" s="12" t="s">
        <v>166</v>
      </c>
    </row>
    <row r="11" customFormat="false" ht="86.25" hidden="false" customHeight="true" outlineLevel="0" collapsed="false">
      <c r="A11" s="11" t="s">
        <v>170</v>
      </c>
      <c r="B11" s="12" t="s">
        <v>89</v>
      </c>
      <c r="C11" s="12" t="s">
        <v>171</v>
      </c>
      <c r="D11" s="12" t="s">
        <v>172</v>
      </c>
      <c r="E11" s="13" t="n">
        <v>3</v>
      </c>
      <c r="F11" s="13" t="n">
        <v>6</v>
      </c>
      <c r="G11" s="12" t="s">
        <v>162</v>
      </c>
      <c r="H11" s="12" t="s">
        <v>163</v>
      </c>
      <c r="I11" s="12" t="s">
        <v>164</v>
      </c>
      <c r="J11" s="12" t="s">
        <v>165</v>
      </c>
      <c r="K11" s="12" t="s">
        <v>166</v>
      </c>
    </row>
    <row r="12" customFormat="false" ht="63" hidden="false" customHeight="true" outlineLevel="0" collapsed="false">
      <c r="A12" s="14" t="s">
        <v>173</v>
      </c>
      <c r="B12" s="15" t="s">
        <v>96</v>
      </c>
      <c r="C12" s="15" t="s">
        <v>174</v>
      </c>
      <c r="D12" s="15" t="s">
        <v>175</v>
      </c>
      <c r="E12" s="16" t="n">
        <v>4</v>
      </c>
      <c r="F12" s="16" t="n">
        <v>9</v>
      </c>
      <c r="G12" s="15" t="s">
        <v>176</v>
      </c>
      <c r="H12" s="15" t="s">
        <v>177</v>
      </c>
      <c r="I12" s="15" t="s">
        <v>178</v>
      </c>
      <c r="J12" s="15" t="s">
        <v>179</v>
      </c>
      <c r="K12" s="15" t="s">
        <v>180</v>
      </c>
    </row>
    <row r="13" customFormat="false" ht="63" hidden="false" customHeight="true" outlineLevel="0" collapsed="false">
      <c r="A13" s="14" t="s">
        <v>181</v>
      </c>
      <c r="B13" s="15" t="s">
        <v>96</v>
      </c>
      <c r="C13" s="15" t="s">
        <v>182</v>
      </c>
      <c r="D13" s="15" t="s">
        <v>183</v>
      </c>
      <c r="E13" s="16" t="n">
        <v>4</v>
      </c>
      <c r="F13" s="16" t="n">
        <v>6</v>
      </c>
      <c r="G13" s="15" t="s">
        <v>176</v>
      </c>
      <c r="H13" s="15" t="s">
        <v>177</v>
      </c>
      <c r="I13" s="15" t="s">
        <v>178</v>
      </c>
      <c r="J13" s="15" t="s">
        <v>179</v>
      </c>
      <c r="K13" s="15" t="s">
        <v>180</v>
      </c>
    </row>
    <row r="14" customFormat="false" ht="63" hidden="false" customHeight="true" outlineLevel="0" collapsed="false">
      <c r="A14" s="14" t="s">
        <v>184</v>
      </c>
      <c r="B14" s="15" t="s">
        <v>96</v>
      </c>
      <c r="C14" s="15" t="s">
        <v>185</v>
      </c>
      <c r="D14" s="15" t="s">
        <v>186</v>
      </c>
      <c r="E14" s="16" t="n">
        <v>2</v>
      </c>
      <c r="F14" s="16" t="n">
        <v>3</v>
      </c>
      <c r="G14" s="15" t="s">
        <v>176</v>
      </c>
      <c r="H14" s="15" t="s">
        <v>177</v>
      </c>
      <c r="I14" s="15" t="s">
        <v>178</v>
      </c>
      <c r="J14" s="15" t="s">
        <v>179</v>
      </c>
      <c r="K14" s="15" t="s">
        <v>180</v>
      </c>
    </row>
    <row r="15" customFormat="false" ht="86.25" hidden="false" customHeight="true" outlineLevel="0" collapsed="false">
      <c r="A15" s="11" t="s">
        <v>187</v>
      </c>
      <c r="B15" s="12" t="s">
        <v>105</v>
      </c>
      <c r="C15" s="12" t="s">
        <v>188</v>
      </c>
      <c r="D15" s="12" t="s">
        <v>189</v>
      </c>
      <c r="E15" s="13" t="n">
        <v>3</v>
      </c>
      <c r="F15" s="13" t="n">
        <v>8</v>
      </c>
      <c r="G15" s="12" t="s">
        <v>190</v>
      </c>
      <c r="H15" s="12" t="s">
        <v>191</v>
      </c>
      <c r="I15" s="12" t="s">
        <v>192</v>
      </c>
      <c r="J15" s="12" t="s">
        <v>193</v>
      </c>
      <c r="K15" s="12" t="s">
        <v>194</v>
      </c>
    </row>
    <row r="16" customFormat="false" ht="86.25" hidden="false" customHeight="true" outlineLevel="0" collapsed="false">
      <c r="A16" s="11" t="s">
        <v>195</v>
      </c>
      <c r="B16" s="12" t="s">
        <v>105</v>
      </c>
      <c r="C16" s="12" t="s">
        <v>196</v>
      </c>
      <c r="D16" s="12" t="s">
        <v>197</v>
      </c>
      <c r="E16" s="13" t="n">
        <v>4</v>
      </c>
      <c r="F16" s="13" t="n">
        <v>5</v>
      </c>
      <c r="G16" s="12" t="s">
        <v>190</v>
      </c>
      <c r="H16" s="12" t="s">
        <v>191</v>
      </c>
      <c r="I16" s="12" t="s">
        <v>192</v>
      </c>
      <c r="J16" s="12" t="s">
        <v>193</v>
      </c>
      <c r="K16" s="12" t="s">
        <v>194</v>
      </c>
    </row>
    <row r="17" customFormat="false" ht="166.5" hidden="false" customHeight="true" outlineLevel="0" collapsed="false">
      <c r="A17" s="14" t="s">
        <v>198</v>
      </c>
      <c r="B17" s="15" t="s">
        <v>112</v>
      </c>
      <c r="C17" s="15" t="s">
        <v>199</v>
      </c>
      <c r="D17" s="15" t="s">
        <v>200</v>
      </c>
      <c r="E17" s="16" t="n">
        <v>8</v>
      </c>
      <c r="F17" s="16" t="n">
        <v>26</v>
      </c>
      <c r="G17" s="15" t="s">
        <v>201</v>
      </c>
      <c r="H17" s="15" t="s">
        <v>202</v>
      </c>
      <c r="I17" s="15" t="s">
        <v>203</v>
      </c>
      <c r="J17" s="15" t="s">
        <v>204</v>
      </c>
      <c r="K17" s="15" t="s">
        <v>205</v>
      </c>
    </row>
    <row r="18" customFormat="false" ht="166.5" hidden="false" customHeight="true" outlineLevel="0" collapsed="false">
      <c r="A18" s="14" t="s">
        <v>206</v>
      </c>
      <c r="B18" s="15" t="s">
        <v>112</v>
      </c>
      <c r="C18" s="15" t="s">
        <v>207</v>
      </c>
      <c r="D18" s="15" t="s">
        <v>208</v>
      </c>
      <c r="E18" s="16" t="n">
        <v>9</v>
      </c>
      <c r="F18" s="16" t="n">
        <v>23</v>
      </c>
      <c r="G18" s="15" t="s">
        <v>201</v>
      </c>
      <c r="H18" s="15" t="s">
        <v>202</v>
      </c>
      <c r="I18" s="15" t="s">
        <v>203</v>
      </c>
      <c r="J18" s="15" t="s">
        <v>204</v>
      </c>
      <c r="K18" s="15" t="s">
        <v>205</v>
      </c>
    </row>
    <row r="19" customFormat="false" ht="166.5" hidden="false" customHeight="true" outlineLevel="0" collapsed="false">
      <c r="A19" s="14" t="s">
        <v>209</v>
      </c>
      <c r="B19" s="15" t="s">
        <v>112</v>
      </c>
      <c r="C19" s="15" t="s">
        <v>210</v>
      </c>
      <c r="D19" s="15" t="s">
        <v>211</v>
      </c>
      <c r="E19" s="16" t="n">
        <v>15</v>
      </c>
      <c r="F19" s="16" t="n">
        <v>42</v>
      </c>
      <c r="G19" s="15" t="s">
        <v>201</v>
      </c>
      <c r="H19" s="15" t="s">
        <v>202</v>
      </c>
      <c r="I19" s="15" t="s">
        <v>203</v>
      </c>
      <c r="J19" s="15" t="s">
        <v>204</v>
      </c>
      <c r="K19" s="15" t="s">
        <v>205</v>
      </c>
    </row>
    <row r="20" customFormat="false" ht="166.5" hidden="false" customHeight="true" outlineLevel="0" collapsed="false">
      <c r="A20" s="14" t="s">
        <v>212</v>
      </c>
      <c r="B20" s="15" t="s">
        <v>112</v>
      </c>
      <c r="C20" s="15" t="s">
        <v>213</v>
      </c>
      <c r="D20" s="15" t="s">
        <v>214</v>
      </c>
      <c r="E20" s="16" t="n">
        <v>11</v>
      </c>
      <c r="F20" s="16" t="n">
        <v>33</v>
      </c>
      <c r="G20" s="15" t="s">
        <v>201</v>
      </c>
      <c r="H20" s="15" t="s">
        <v>202</v>
      </c>
      <c r="I20" s="15" t="s">
        <v>203</v>
      </c>
      <c r="J20" s="15" t="s">
        <v>204</v>
      </c>
      <c r="K20" s="15" t="s">
        <v>205</v>
      </c>
    </row>
    <row r="21" customFormat="false" ht="166.5" hidden="false" customHeight="true" outlineLevel="0" collapsed="false">
      <c r="A21" s="14" t="s">
        <v>215</v>
      </c>
      <c r="B21" s="15" t="s">
        <v>112</v>
      </c>
      <c r="C21" s="15" t="s">
        <v>216</v>
      </c>
      <c r="D21" s="15" t="s">
        <v>217</v>
      </c>
      <c r="E21" s="16" t="n">
        <v>21</v>
      </c>
      <c r="F21" s="16" t="n">
        <v>62</v>
      </c>
      <c r="G21" s="15" t="s">
        <v>201</v>
      </c>
      <c r="H21" s="15" t="s">
        <v>202</v>
      </c>
      <c r="I21" s="15" t="s">
        <v>203</v>
      </c>
      <c r="J21" s="15" t="s">
        <v>204</v>
      </c>
      <c r="K21" s="15" t="s">
        <v>205</v>
      </c>
    </row>
  </sheetData>
  <autoFilter ref="A1:K2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S12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8"/>
    <col collapsed="false" customWidth="true" hidden="false" outlineLevel="0" max="4" min="4" style="0" width="8"/>
    <col collapsed="false" customWidth="true" hidden="false" outlineLevel="0" max="5" min="5" style="0" width="30"/>
    <col collapsed="false" customWidth="true" hidden="false" outlineLevel="0" max="6" min="6" style="0" width="14"/>
    <col collapsed="false" customWidth="true" hidden="false" outlineLevel="0" max="8" min="7" style="0" width="17"/>
    <col collapsed="false" customWidth="true" hidden="false" outlineLevel="0" max="9" min="9" style="0" width="32"/>
    <col collapsed="false" customWidth="true" hidden="false" outlineLevel="0" max="10" min="10" style="0" width="60"/>
    <col collapsed="false" customWidth="true" hidden="false" outlineLevel="0" max="11" min="11" style="0" width="42"/>
    <col collapsed="false" customWidth="true" hidden="false" outlineLevel="0" max="12" min="12" style="0" width="50"/>
    <col collapsed="false" customWidth="true" hidden="false" outlineLevel="0" max="13" min="13" style="0" width="28"/>
    <col collapsed="false" customWidth="true" hidden="false" outlineLevel="0" max="14" min="14" style="0" width="7"/>
    <col collapsed="false" customWidth="true" hidden="false" outlineLevel="0" max="15" min="15" style="0" width="9"/>
    <col collapsed="false" customWidth="true" hidden="false" outlineLevel="0" max="16" min="16" style="0" width="10"/>
    <col collapsed="false" customWidth="true" hidden="false" outlineLevel="0" max="17" min="17" style="0" width="11"/>
    <col collapsed="false" customWidth="true" hidden="false" outlineLevel="0" max="18" min="18" style="0" width="19"/>
    <col collapsed="false" customWidth="true" hidden="false" outlineLevel="0" max="19" min="19" style="0" width="21"/>
  </cols>
  <sheetData>
    <row r="1" customFormat="false" ht="30" hidden="false" customHeight="true" outlineLevel="0" collapsed="false">
      <c r="A1" s="10" t="s">
        <v>218</v>
      </c>
      <c r="B1" s="10" t="s">
        <v>61</v>
      </c>
      <c r="C1" s="10" t="s">
        <v>62</v>
      </c>
      <c r="D1" s="10" t="s">
        <v>219</v>
      </c>
      <c r="E1" s="10" t="s">
        <v>220</v>
      </c>
      <c r="F1" s="10" t="s">
        <v>221</v>
      </c>
      <c r="G1" s="10" t="s">
        <v>222</v>
      </c>
      <c r="H1" s="10" t="s">
        <v>223</v>
      </c>
      <c r="I1" s="10" t="s">
        <v>224</v>
      </c>
      <c r="J1" s="10" t="s">
        <v>225</v>
      </c>
      <c r="K1" s="10" t="s">
        <v>226</v>
      </c>
      <c r="L1" s="10" t="s">
        <v>227</v>
      </c>
      <c r="M1" s="10" t="s">
        <v>124</v>
      </c>
      <c r="N1" s="10" t="s">
        <v>70</v>
      </c>
      <c r="O1" s="10" t="s">
        <v>228</v>
      </c>
      <c r="P1" s="10" t="s">
        <v>229</v>
      </c>
      <c r="Q1" s="10" t="s">
        <v>230</v>
      </c>
      <c r="R1" s="10" t="s">
        <v>231</v>
      </c>
      <c r="S1" s="10" t="s">
        <v>232</v>
      </c>
    </row>
    <row r="2" customFormat="false" ht="235.5" hidden="false" customHeight="true" outlineLevel="0" collapsed="false">
      <c r="A2" s="11" t="s">
        <v>233</v>
      </c>
      <c r="B2" s="12" t="s">
        <v>71</v>
      </c>
      <c r="C2" s="12" t="s">
        <v>72</v>
      </c>
      <c r="D2" s="13" t="s">
        <v>234</v>
      </c>
      <c r="E2" s="12" t="s">
        <v>235</v>
      </c>
      <c r="F2" s="12" t="s">
        <v>128</v>
      </c>
      <c r="G2" s="12" t="s">
        <v>236</v>
      </c>
      <c r="H2" s="12" t="s">
        <v>237</v>
      </c>
      <c r="I2" s="12" t="s">
        <v>238</v>
      </c>
      <c r="J2" s="12" t="s">
        <v>239</v>
      </c>
      <c r="K2" s="12" t="s">
        <v>240</v>
      </c>
      <c r="L2" s="12" t="s">
        <v>241</v>
      </c>
      <c r="M2" s="12" t="s">
        <v>242</v>
      </c>
      <c r="N2" s="13" t="n">
        <v>5</v>
      </c>
      <c r="O2" s="17" t="s">
        <v>243</v>
      </c>
      <c r="P2" s="13" t="s">
        <v>244</v>
      </c>
      <c r="Q2" s="13" t="s">
        <v>245</v>
      </c>
      <c r="R2" s="12" t="s">
        <v>246</v>
      </c>
      <c r="S2" s="12" t="s">
        <v>247</v>
      </c>
    </row>
    <row r="3" customFormat="false" ht="144" hidden="false" customHeight="true" outlineLevel="0" collapsed="false">
      <c r="A3" s="11" t="s">
        <v>248</v>
      </c>
      <c r="B3" s="12" t="s">
        <v>71</v>
      </c>
      <c r="C3" s="12" t="s">
        <v>72</v>
      </c>
      <c r="D3" s="13" t="s">
        <v>234</v>
      </c>
      <c r="E3" s="12" t="s">
        <v>249</v>
      </c>
      <c r="F3" s="12" t="s">
        <v>136</v>
      </c>
      <c r="G3" s="12" t="s">
        <v>236</v>
      </c>
      <c r="H3" s="12" t="s">
        <v>237</v>
      </c>
      <c r="I3" s="12" t="s">
        <v>250</v>
      </c>
      <c r="J3" s="12" t="s">
        <v>251</v>
      </c>
      <c r="K3" s="12" t="s">
        <v>252</v>
      </c>
      <c r="L3" s="12" t="s">
        <v>253</v>
      </c>
      <c r="M3" s="12" t="s">
        <v>254</v>
      </c>
      <c r="N3" s="13" t="n">
        <v>5</v>
      </c>
      <c r="O3" s="17" t="s">
        <v>243</v>
      </c>
      <c r="P3" s="13" t="s">
        <v>244</v>
      </c>
      <c r="Q3" s="13" t="s">
        <v>245</v>
      </c>
      <c r="R3" s="12" t="s">
        <v>233</v>
      </c>
      <c r="S3" s="12" t="s">
        <v>255</v>
      </c>
    </row>
    <row r="4" customFormat="false" ht="132" hidden="false" customHeight="true" outlineLevel="0" collapsed="false">
      <c r="A4" s="11" t="s">
        <v>256</v>
      </c>
      <c r="B4" s="12" t="s">
        <v>71</v>
      </c>
      <c r="C4" s="12" t="s">
        <v>72</v>
      </c>
      <c r="D4" s="13" t="s">
        <v>234</v>
      </c>
      <c r="E4" s="12" t="s">
        <v>257</v>
      </c>
      <c r="F4" s="12" t="s">
        <v>128</v>
      </c>
      <c r="G4" s="12" t="s">
        <v>236</v>
      </c>
      <c r="H4" s="12" t="s">
        <v>237</v>
      </c>
      <c r="I4" s="12" t="s">
        <v>258</v>
      </c>
      <c r="J4" s="12" t="s">
        <v>259</v>
      </c>
      <c r="K4" s="12" t="s">
        <v>252</v>
      </c>
      <c r="L4" s="12" t="s">
        <v>260</v>
      </c>
      <c r="M4" s="12" t="s">
        <v>254</v>
      </c>
      <c r="N4" s="13" t="n">
        <v>5</v>
      </c>
      <c r="O4" s="17" t="s">
        <v>243</v>
      </c>
      <c r="P4" s="13" t="s">
        <v>261</v>
      </c>
      <c r="Q4" s="13" t="s">
        <v>245</v>
      </c>
      <c r="R4" s="12" t="s">
        <v>233</v>
      </c>
      <c r="S4" s="12" t="s">
        <v>262</v>
      </c>
    </row>
    <row r="5" customFormat="false" ht="75" hidden="false" customHeight="true" outlineLevel="0" collapsed="false">
      <c r="A5" s="11" t="s">
        <v>263</v>
      </c>
      <c r="B5" s="12" t="s">
        <v>71</v>
      </c>
      <c r="C5" s="12" t="s">
        <v>72</v>
      </c>
      <c r="D5" s="13" t="s">
        <v>234</v>
      </c>
      <c r="E5" s="12" t="s">
        <v>264</v>
      </c>
      <c r="F5" s="12" t="s">
        <v>136</v>
      </c>
      <c r="G5" s="12" t="s">
        <v>236</v>
      </c>
      <c r="H5" s="12" t="s">
        <v>237</v>
      </c>
      <c r="I5" s="12" t="s">
        <v>265</v>
      </c>
      <c r="J5" s="12" t="s">
        <v>266</v>
      </c>
      <c r="K5" s="12" t="s">
        <v>252</v>
      </c>
      <c r="L5" s="12" t="s">
        <v>267</v>
      </c>
      <c r="M5" s="12" t="s">
        <v>254</v>
      </c>
      <c r="N5" s="13" t="n">
        <v>3</v>
      </c>
      <c r="O5" s="17" t="s">
        <v>243</v>
      </c>
      <c r="P5" s="13" t="s">
        <v>261</v>
      </c>
      <c r="Q5" s="13" t="s">
        <v>245</v>
      </c>
      <c r="R5" s="12" t="s">
        <v>248</v>
      </c>
      <c r="S5" s="12" t="s">
        <v>268</v>
      </c>
    </row>
    <row r="6" customFormat="false" ht="75" hidden="false" customHeight="true" outlineLevel="0" collapsed="false">
      <c r="A6" s="11" t="s">
        <v>269</v>
      </c>
      <c r="B6" s="12" t="s">
        <v>71</v>
      </c>
      <c r="C6" s="12" t="s">
        <v>72</v>
      </c>
      <c r="D6" s="13" t="s">
        <v>234</v>
      </c>
      <c r="E6" s="12" t="s">
        <v>270</v>
      </c>
      <c r="F6" s="12" t="s">
        <v>139</v>
      </c>
      <c r="G6" s="12" t="s">
        <v>236</v>
      </c>
      <c r="H6" s="12" t="s">
        <v>237</v>
      </c>
      <c r="I6" s="12" t="s">
        <v>271</v>
      </c>
      <c r="J6" s="12" t="s">
        <v>272</v>
      </c>
      <c r="K6" s="12" t="s">
        <v>252</v>
      </c>
      <c r="L6" s="12" t="s">
        <v>273</v>
      </c>
      <c r="M6" s="12" t="s">
        <v>254</v>
      </c>
      <c r="N6" s="13" t="n">
        <v>3</v>
      </c>
      <c r="O6" s="18" t="s">
        <v>274</v>
      </c>
      <c r="P6" s="13" t="s">
        <v>261</v>
      </c>
      <c r="Q6" s="13" t="s">
        <v>245</v>
      </c>
      <c r="R6" s="12" t="s">
        <v>233</v>
      </c>
      <c r="S6" s="12" t="s">
        <v>275</v>
      </c>
    </row>
    <row r="7" customFormat="false" ht="63" hidden="false" customHeight="true" outlineLevel="0" collapsed="false">
      <c r="A7" s="11" t="s">
        <v>276</v>
      </c>
      <c r="B7" s="12" t="s">
        <v>71</v>
      </c>
      <c r="C7" s="12" t="s">
        <v>72</v>
      </c>
      <c r="D7" s="13" t="s">
        <v>234</v>
      </c>
      <c r="E7" s="12" t="s">
        <v>277</v>
      </c>
      <c r="F7" s="12" t="s">
        <v>139</v>
      </c>
      <c r="G7" s="12" t="s">
        <v>278</v>
      </c>
      <c r="H7" s="12" t="s">
        <v>237</v>
      </c>
      <c r="I7" s="12" t="s">
        <v>279</v>
      </c>
      <c r="J7" s="12" t="s">
        <v>280</v>
      </c>
      <c r="K7" s="12" t="s">
        <v>252</v>
      </c>
      <c r="L7" s="12" t="s">
        <v>281</v>
      </c>
      <c r="M7" s="12" t="s">
        <v>254</v>
      </c>
      <c r="N7" s="13" t="n">
        <v>3</v>
      </c>
      <c r="O7" s="17" t="s">
        <v>243</v>
      </c>
      <c r="P7" s="13" t="s">
        <v>261</v>
      </c>
      <c r="Q7" s="13" t="s">
        <v>245</v>
      </c>
      <c r="R7" s="12" t="s">
        <v>233</v>
      </c>
      <c r="S7" s="12" t="s">
        <v>282</v>
      </c>
    </row>
    <row r="8" customFormat="false" ht="75" hidden="false" customHeight="true" outlineLevel="0" collapsed="false">
      <c r="A8" s="11" t="s">
        <v>283</v>
      </c>
      <c r="B8" s="12" t="s">
        <v>71</v>
      </c>
      <c r="C8" s="12" t="s">
        <v>72</v>
      </c>
      <c r="D8" s="13" t="s">
        <v>234</v>
      </c>
      <c r="E8" s="12" t="s">
        <v>284</v>
      </c>
      <c r="F8" s="12" t="s">
        <v>139</v>
      </c>
      <c r="G8" s="12" t="s">
        <v>236</v>
      </c>
      <c r="H8" s="12" t="s">
        <v>237</v>
      </c>
      <c r="I8" s="12" t="s">
        <v>285</v>
      </c>
      <c r="J8" s="12" t="s">
        <v>286</v>
      </c>
      <c r="K8" s="12" t="s">
        <v>252</v>
      </c>
      <c r="L8" s="12" t="s">
        <v>287</v>
      </c>
      <c r="M8" s="12" t="s">
        <v>254</v>
      </c>
      <c r="N8" s="13" t="n">
        <v>3</v>
      </c>
      <c r="O8" s="18" t="s">
        <v>274</v>
      </c>
      <c r="P8" s="13" t="s">
        <v>261</v>
      </c>
      <c r="Q8" s="13" t="s">
        <v>245</v>
      </c>
      <c r="R8" s="12" t="s">
        <v>246</v>
      </c>
      <c r="S8" s="12" t="s">
        <v>288</v>
      </c>
    </row>
    <row r="9" customFormat="false" ht="75" hidden="false" customHeight="true" outlineLevel="0" collapsed="false">
      <c r="A9" s="11" t="s">
        <v>289</v>
      </c>
      <c r="B9" s="12" t="s">
        <v>71</v>
      </c>
      <c r="C9" s="12" t="s">
        <v>72</v>
      </c>
      <c r="D9" s="13" t="s">
        <v>234</v>
      </c>
      <c r="E9" s="12" t="s">
        <v>290</v>
      </c>
      <c r="F9" s="12" t="s">
        <v>139</v>
      </c>
      <c r="G9" s="12" t="s">
        <v>291</v>
      </c>
      <c r="H9" s="12" t="s">
        <v>237</v>
      </c>
      <c r="I9" s="12" t="s">
        <v>292</v>
      </c>
      <c r="J9" s="12" t="s">
        <v>293</v>
      </c>
      <c r="K9" s="12" t="s">
        <v>252</v>
      </c>
      <c r="L9" s="12" t="s">
        <v>294</v>
      </c>
      <c r="M9" s="12" t="s">
        <v>254</v>
      </c>
      <c r="N9" s="13" t="n">
        <v>3</v>
      </c>
      <c r="O9" s="18" t="s">
        <v>274</v>
      </c>
      <c r="P9" s="13" t="s">
        <v>261</v>
      </c>
      <c r="Q9" s="13" t="s">
        <v>245</v>
      </c>
      <c r="R9" s="12" t="s">
        <v>246</v>
      </c>
      <c r="S9" s="12" t="s">
        <v>295</v>
      </c>
    </row>
    <row r="10" customFormat="false" ht="51.75" hidden="false" customHeight="true" outlineLevel="0" collapsed="false">
      <c r="A10" s="11" t="s">
        <v>296</v>
      </c>
      <c r="B10" s="12" t="s">
        <v>71</v>
      </c>
      <c r="C10" s="12" t="s">
        <v>72</v>
      </c>
      <c r="D10" s="13" t="s">
        <v>234</v>
      </c>
      <c r="E10" s="12" t="s">
        <v>297</v>
      </c>
      <c r="F10" s="12" t="s">
        <v>139</v>
      </c>
      <c r="G10" s="12" t="s">
        <v>278</v>
      </c>
      <c r="H10" s="12" t="s">
        <v>237</v>
      </c>
      <c r="I10" s="12" t="s">
        <v>292</v>
      </c>
      <c r="J10" s="12" t="s">
        <v>298</v>
      </c>
      <c r="K10" s="12" t="s">
        <v>252</v>
      </c>
      <c r="L10" s="12" t="s">
        <v>299</v>
      </c>
      <c r="M10" s="12" t="s">
        <v>254</v>
      </c>
      <c r="N10" s="13" t="n">
        <v>3</v>
      </c>
      <c r="O10" s="17" t="s">
        <v>243</v>
      </c>
      <c r="P10" s="13" t="s">
        <v>244</v>
      </c>
      <c r="Q10" s="13" t="s">
        <v>245</v>
      </c>
      <c r="R10" s="12" t="s">
        <v>246</v>
      </c>
      <c r="S10" s="12" t="s">
        <v>300</v>
      </c>
    </row>
    <row r="11" customFormat="false" ht="51.75" hidden="false" customHeight="true" outlineLevel="0" collapsed="false">
      <c r="A11" s="11" t="s">
        <v>301</v>
      </c>
      <c r="B11" s="12" t="s">
        <v>71</v>
      </c>
      <c r="C11" s="12" t="s">
        <v>72</v>
      </c>
      <c r="D11" s="13" t="s">
        <v>234</v>
      </c>
      <c r="E11" s="12" t="s">
        <v>302</v>
      </c>
      <c r="F11" s="12" t="s">
        <v>139</v>
      </c>
      <c r="G11" s="12" t="s">
        <v>278</v>
      </c>
      <c r="H11" s="12" t="s">
        <v>237</v>
      </c>
      <c r="I11" s="12" t="s">
        <v>303</v>
      </c>
      <c r="J11" s="12" t="s">
        <v>304</v>
      </c>
      <c r="K11" s="12" t="s">
        <v>252</v>
      </c>
      <c r="L11" s="12" t="s">
        <v>305</v>
      </c>
      <c r="M11" s="12" t="s">
        <v>254</v>
      </c>
      <c r="N11" s="13" t="n">
        <v>3</v>
      </c>
      <c r="O11" s="18" t="s">
        <v>274</v>
      </c>
      <c r="P11" s="13" t="s">
        <v>261</v>
      </c>
      <c r="Q11" s="13" t="s">
        <v>245</v>
      </c>
      <c r="R11" s="12" t="s">
        <v>296</v>
      </c>
      <c r="S11" s="12" t="s">
        <v>306</v>
      </c>
    </row>
    <row r="12" customFormat="false" ht="97.5" hidden="false" customHeight="true" outlineLevel="0" collapsed="false">
      <c r="A12" s="14" t="s">
        <v>307</v>
      </c>
      <c r="B12" s="15" t="s">
        <v>80</v>
      </c>
      <c r="C12" s="15" t="s">
        <v>81</v>
      </c>
      <c r="D12" s="16" t="s">
        <v>308</v>
      </c>
      <c r="E12" s="15" t="s">
        <v>309</v>
      </c>
      <c r="F12" s="15" t="s">
        <v>142</v>
      </c>
      <c r="G12" s="15" t="s">
        <v>82</v>
      </c>
      <c r="H12" s="15" t="s">
        <v>310</v>
      </c>
      <c r="I12" s="15" t="s">
        <v>311</v>
      </c>
      <c r="J12" s="15" t="s">
        <v>312</v>
      </c>
      <c r="K12" s="15" t="s">
        <v>252</v>
      </c>
      <c r="L12" s="15" t="s">
        <v>313</v>
      </c>
      <c r="M12" s="15" t="s">
        <v>254</v>
      </c>
      <c r="N12" s="16" t="n">
        <v>3</v>
      </c>
      <c r="O12" s="17" t="s">
        <v>243</v>
      </c>
      <c r="P12" s="16" t="s">
        <v>244</v>
      </c>
      <c r="Q12" s="16" t="s">
        <v>314</v>
      </c>
      <c r="R12" s="15" t="s">
        <v>315</v>
      </c>
      <c r="S12" s="15" t="s">
        <v>316</v>
      </c>
    </row>
    <row r="13" customFormat="false" ht="63" hidden="false" customHeight="true" outlineLevel="0" collapsed="false">
      <c r="A13" s="14" t="s">
        <v>317</v>
      </c>
      <c r="B13" s="15" t="s">
        <v>80</v>
      </c>
      <c r="C13" s="15" t="s">
        <v>81</v>
      </c>
      <c r="D13" s="16" t="s">
        <v>308</v>
      </c>
      <c r="E13" s="15" t="s">
        <v>318</v>
      </c>
      <c r="F13" s="15" t="s">
        <v>142</v>
      </c>
      <c r="G13" s="15" t="s">
        <v>82</v>
      </c>
      <c r="H13" s="15" t="s">
        <v>319</v>
      </c>
      <c r="I13" s="15" t="s">
        <v>292</v>
      </c>
      <c r="J13" s="15" t="s">
        <v>320</v>
      </c>
      <c r="K13" s="15" t="s">
        <v>252</v>
      </c>
      <c r="L13" s="15" t="s">
        <v>321</v>
      </c>
      <c r="M13" s="15" t="s">
        <v>254</v>
      </c>
      <c r="N13" s="16" t="n">
        <v>2</v>
      </c>
      <c r="O13" s="17" t="s">
        <v>243</v>
      </c>
      <c r="P13" s="16" t="s">
        <v>261</v>
      </c>
      <c r="Q13" s="16" t="s">
        <v>314</v>
      </c>
      <c r="R13" s="15" t="s">
        <v>307</v>
      </c>
      <c r="S13" s="15" t="s">
        <v>322</v>
      </c>
    </row>
    <row r="14" customFormat="false" ht="109.5" hidden="false" customHeight="true" outlineLevel="0" collapsed="false">
      <c r="A14" s="14" t="s">
        <v>323</v>
      </c>
      <c r="B14" s="15" t="s">
        <v>80</v>
      </c>
      <c r="C14" s="15" t="s">
        <v>81</v>
      </c>
      <c r="D14" s="16" t="s">
        <v>308</v>
      </c>
      <c r="E14" s="15" t="s">
        <v>324</v>
      </c>
      <c r="F14" s="15" t="s">
        <v>142</v>
      </c>
      <c r="G14" s="15" t="s">
        <v>82</v>
      </c>
      <c r="H14" s="15" t="s">
        <v>319</v>
      </c>
      <c r="I14" s="15" t="s">
        <v>325</v>
      </c>
      <c r="J14" s="15" t="s">
        <v>326</v>
      </c>
      <c r="K14" s="15" t="s">
        <v>327</v>
      </c>
      <c r="L14" s="15" t="s">
        <v>328</v>
      </c>
      <c r="M14" s="15" t="s">
        <v>254</v>
      </c>
      <c r="N14" s="16" t="n">
        <v>2</v>
      </c>
      <c r="O14" s="17" t="s">
        <v>243</v>
      </c>
      <c r="P14" s="16" t="s">
        <v>261</v>
      </c>
      <c r="Q14" s="16" t="s">
        <v>314</v>
      </c>
      <c r="R14" s="15" t="s">
        <v>317</v>
      </c>
      <c r="S14" s="15" t="s">
        <v>329</v>
      </c>
    </row>
    <row r="15" customFormat="false" ht="75" hidden="false" customHeight="true" outlineLevel="0" collapsed="false">
      <c r="A15" s="14" t="s">
        <v>330</v>
      </c>
      <c r="B15" s="15" t="s">
        <v>80</v>
      </c>
      <c r="C15" s="15" t="s">
        <v>81</v>
      </c>
      <c r="D15" s="16" t="s">
        <v>308</v>
      </c>
      <c r="E15" s="15" t="s">
        <v>331</v>
      </c>
      <c r="F15" s="15" t="s">
        <v>142</v>
      </c>
      <c r="G15" s="15" t="s">
        <v>82</v>
      </c>
      <c r="H15" s="15" t="s">
        <v>332</v>
      </c>
      <c r="I15" s="15" t="s">
        <v>292</v>
      </c>
      <c r="J15" s="15" t="s">
        <v>333</v>
      </c>
      <c r="K15" s="15" t="s">
        <v>252</v>
      </c>
      <c r="L15" s="15" t="s">
        <v>334</v>
      </c>
      <c r="M15" s="15" t="s">
        <v>254</v>
      </c>
      <c r="N15" s="16" t="n">
        <v>3</v>
      </c>
      <c r="O15" s="17" t="s">
        <v>243</v>
      </c>
      <c r="P15" s="16" t="s">
        <v>261</v>
      </c>
      <c r="Q15" s="16" t="s">
        <v>314</v>
      </c>
      <c r="R15" s="15" t="s">
        <v>323</v>
      </c>
      <c r="S15" s="15" t="s">
        <v>329</v>
      </c>
    </row>
    <row r="16" customFormat="false" ht="51.75" hidden="false" customHeight="true" outlineLevel="0" collapsed="false">
      <c r="A16" s="14" t="s">
        <v>335</v>
      </c>
      <c r="B16" s="15" t="s">
        <v>80</v>
      </c>
      <c r="C16" s="15" t="s">
        <v>81</v>
      </c>
      <c r="D16" s="16" t="s">
        <v>308</v>
      </c>
      <c r="E16" s="15" t="s">
        <v>336</v>
      </c>
      <c r="F16" s="15" t="s">
        <v>142</v>
      </c>
      <c r="G16" s="15" t="s">
        <v>82</v>
      </c>
      <c r="H16" s="15" t="s">
        <v>332</v>
      </c>
      <c r="I16" s="15" t="s">
        <v>337</v>
      </c>
      <c r="J16" s="15" t="s">
        <v>338</v>
      </c>
      <c r="K16" s="15" t="s">
        <v>252</v>
      </c>
      <c r="L16" s="15" t="s">
        <v>339</v>
      </c>
      <c r="M16" s="15" t="s">
        <v>254</v>
      </c>
      <c r="N16" s="16" t="n">
        <v>2</v>
      </c>
      <c r="O16" s="18" t="s">
        <v>274</v>
      </c>
      <c r="P16" s="16" t="s">
        <v>261</v>
      </c>
      <c r="Q16" s="16" t="s">
        <v>314</v>
      </c>
      <c r="R16" s="15" t="s">
        <v>330</v>
      </c>
      <c r="S16" s="15" t="s">
        <v>329</v>
      </c>
    </row>
    <row r="17" customFormat="false" ht="75" hidden="false" customHeight="true" outlineLevel="0" collapsed="false">
      <c r="A17" s="14" t="s">
        <v>340</v>
      </c>
      <c r="B17" s="15" t="s">
        <v>80</v>
      </c>
      <c r="C17" s="15" t="s">
        <v>81</v>
      </c>
      <c r="D17" s="16" t="s">
        <v>308</v>
      </c>
      <c r="E17" s="15" t="s">
        <v>341</v>
      </c>
      <c r="F17" s="15" t="s">
        <v>142</v>
      </c>
      <c r="G17" s="15" t="s">
        <v>82</v>
      </c>
      <c r="H17" s="15" t="s">
        <v>332</v>
      </c>
      <c r="I17" s="15" t="s">
        <v>342</v>
      </c>
      <c r="J17" s="15" t="s">
        <v>343</v>
      </c>
      <c r="K17" s="15" t="s">
        <v>344</v>
      </c>
      <c r="L17" s="15" t="s">
        <v>345</v>
      </c>
      <c r="M17" s="15" t="s">
        <v>254</v>
      </c>
      <c r="N17" s="16" t="n">
        <v>3</v>
      </c>
      <c r="O17" s="17" t="s">
        <v>243</v>
      </c>
      <c r="P17" s="16" t="s">
        <v>261</v>
      </c>
      <c r="Q17" s="16" t="s">
        <v>314</v>
      </c>
      <c r="R17" s="15" t="s">
        <v>330</v>
      </c>
      <c r="S17" s="15" t="s">
        <v>329</v>
      </c>
    </row>
    <row r="18" customFormat="false" ht="63" hidden="false" customHeight="true" outlineLevel="0" collapsed="false">
      <c r="A18" s="14" t="s">
        <v>346</v>
      </c>
      <c r="B18" s="15" t="s">
        <v>80</v>
      </c>
      <c r="C18" s="15" t="s">
        <v>81</v>
      </c>
      <c r="D18" s="16" t="s">
        <v>308</v>
      </c>
      <c r="E18" s="15" t="s">
        <v>347</v>
      </c>
      <c r="F18" s="15" t="s">
        <v>150</v>
      </c>
      <c r="G18" s="15" t="s">
        <v>82</v>
      </c>
      <c r="H18" s="15" t="s">
        <v>348</v>
      </c>
      <c r="I18" s="15" t="s">
        <v>349</v>
      </c>
      <c r="J18" s="15" t="s">
        <v>350</v>
      </c>
      <c r="K18" s="15" t="s">
        <v>252</v>
      </c>
      <c r="L18" s="15" t="s">
        <v>351</v>
      </c>
      <c r="M18" s="15" t="s">
        <v>254</v>
      </c>
      <c r="N18" s="16" t="n">
        <v>3</v>
      </c>
      <c r="O18" s="18" t="s">
        <v>274</v>
      </c>
      <c r="P18" s="16" t="s">
        <v>352</v>
      </c>
      <c r="Q18" s="16" t="s">
        <v>353</v>
      </c>
      <c r="R18" s="15" t="s">
        <v>269</v>
      </c>
      <c r="S18" s="15" t="s">
        <v>354</v>
      </c>
    </row>
    <row r="19" customFormat="false" ht="97.5" hidden="false" customHeight="true" outlineLevel="0" collapsed="false">
      <c r="A19" s="14" t="s">
        <v>355</v>
      </c>
      <c r="B19" s="15" t="s">
        <v>80</v>
      </c>
      <c r="C19" s="15" t="s">
        <v>81</v>
      </c>
      <c r="D19" s="16" t="s">
        <v>308</v>
      </c>
      <c r="E19" s="15" t="s">
        <v>356</v>
      </c>
      <c r="F19" s="15" t="s">
        <v>150</v>
      </c>
      <c r="G19" s="15" t="s">
        <v>82</v>
      </c>
      <c r="H19" s="15" t="s">
        <v>348</v>
      </c>
      <c r="I19" s="15" t="s">
        <v>357</v>
      </c>
      <c r="J19" s="15" t="s">
        <v>358</v>
      </c>
      <c r="K19" s="15" t="s">
        <v>252</v>
      </c>
      <c r="L19" s="15" t="s">
        <v>359</v>
      </c>
      <c r="M19" s="15" t="s">
        <v>360</v>
      </c>
      <c r="N19" s="16" t="n">
        <v>5</v>
      </c>
      <c r="O19" s="18" t="s">
        <v>274</v>
      </c>
      <c r="P19" s="16" t="s">
        <v>352</v>
      </c>
      <c r="Q19" s="16" t="s">
        <v>353</v>
      </c>
      <c r="R19" s="15" t="s">
        <v>346</v>
      </c>
      <c r="S19" s="15" t="s">
        <v>361</v>
      </c>
    </row>
    <row r="20" customFormat="false" ht="51.75" hidden="false" customHeight="true" outlineLevel="0" collapsed="false">
      <c r="A20" s="14" t="s">
        <v>362</v>
      </c>
      <c r="B20" s="15" t="s">
        <v>80</v>
      </c>
      <c r="C20" s="15" t="s">
        <v>81</v>
      </c>
      <c r="D20" s="16" t="s">
        <v>308</v>
      </c>
      <c r="E20" s="15" t="s">
        <v>363</v>
      </c>
      <c r="F20" s="15" t="s">
        <v>150</v>
      </c>
      <c r="G20" s="15" t="s">
        <v>82</v>
      </c>
      <c r="H20" s="15" t="s">
        <v>348</v>
      </c>
      <c r="I20" s="15" t="s">
        <v>364</v>
      </c>
      <c r="J20" s="15" t="s">
        <v>365</v>
      </c>
      <c r="K20" s="15" t="s">
        <v>252</v>
      </c>
      <c r="L20" s="15" t="s">
        <v>366</v>
      </c>
      <c r="M20" s="15" t="s">
        <v>254</v>
      </c>
      <c r="N20" s="16" t="n">
        <v>2</v>
      </c>
      <c r="O20" s="19" t="s">
        <v>367</v>
      </c>
      <c r="P20" s="16" t="s">
        <v>352</v>
      </c>
      <c r="Q20" s="16" t="s">
        <v>353</v>
      </c>
      <c r="R20" s="15" t="s">
        <v>355</v>
      </c>
      <c r="S20" s="15" t="s">
        <v>368</v>
      </c>
    </row>
    <row r="21" customFormat="false" ht="51.75" hidden="false" customHeight="true" outlineLevel="0" collapsed="false">
      <c r="A21" s="14" t="s">
        <v>369</v>
      </c>
      <c r="B21" s="15" t="s">
        <v>80</v>
      </c>
      <c r="C21" s="15" t="s">
        <v>81</v>
      </c>
      <c r="D21" s="16" t="s">
        <v>308</v>
      </c>
      <c r="E21" s="15" t="s">
        <v>370</v>
      </c>
      <c r="F21" s="15" t="s">
        <v>150</v>
      </c>
      <c r="G21" s="15" t="s">
        <v>82</v>
      </c>
      <c r="H21" s="15" t="s">
        <v>348</v>
      </c>
      <c r="I21" s="15" t="s">
        <v>371</v>
      </c>
      <c r="J21" s="15" t="s">
        <v>372</v>
      </c>
      <c r="K21" s="15" t="s">
        <v>373</v>
      </c>
      <c r="L21" s="15" t="s">
        <v>374</v>
      </c>
      <c r="M21" s="15" t="s">
        <v>254</v>
      </c>
      <c r="N21" s="16" t="n">
        <v>3</v>
      </c>
      <c r="O21" s="18" t="s">
        <v>274</v>
      </c>
      <c r="P21" s="16" t="s">
        <v>352</v>
      </c>
      <c r="Q21" s="16" t="s">
        <v>353</v>
      </c>
      <c r="R21" s="15" t="s">
        <v>375</v>
      </c>
      <c r="S21" s="15" t="s">
        <v>361</v>
      </c>
    </row>
    <row r="22" customFormat="false" ht="51.75" hidden="false" customHeight="true" outlineLevel="0" collapsed="false">
      <c r="A22" s="14" t="s">
        <v>376</v>
      </c>
      <c r="B22" s="15" t="s">
        <v>80</v>
      </c>
      <c r="C22" s="15" t="s">
        <v>81</v>
      </c>
      <c r="D22" s="16" t="s">
        <v>308</v>
      </c>
      <c r="E22" s="15" t="s">
        <v>377</v>
      </c>
      <c r="F22" s="15" t="s">
        <v>153</v>
      </c>
      <c r="G22" s="15" t="s">
        <v>82</v>
      </c>
      <c r="H22" s="15" t="s">
        <v>378</v>
      </c>
      <c r="I22" s="15" t="s">
        <v>379</v>
      </c>
      <c r="J22" s="15" t="s">
        <v>380</v>
      </c>
      <c r="K22" s="15" t="s">
        <v>252</v>
      </c>
      <c r="L22" s="15" t="s">
        <v>381</v>
      </c>
      <c r="M22" s="15" t="s">
        <v>254</v>
      </c>
      <c r="N22" s="16" t="n">
        <v>2</v>
      </c>
      <c r="O22" s="18" t="s">
        <v>274</v>
      </c>
      <c r="P22" s="16" t="s">
        <v>382</v>
      </c>
      <c r="Q22" s="16" t="s">
        <v>314</v>
      </c>
      <c r="R22" s="15" t="s">
        <v>383</v>
      </c>
      <c r="S22" s="15" t="s">
        <v>384</v>
      </c>
    </row>
    <row r="23" customFormat="false" ht="40.5" hidden="false" customHeight="true" outlineLevel="0" collapsed="false">
      <c r="A23" s="14" t="s">
        <v>385</v>
      </c>
      <c r="B23" s="15" t="s">
        <v>80</v>
      </c>
      <c r="C23" s="15" t="s">
        <v>81</v>
      </c>
      <c r="D23" s="16" t="s">
        <v>308</v>
      </c>
      <c r="E23" s="15" t="s">
        <v>386</v>
      </c>
      <c r="F23" s="15" t="s">
        <v>153</v>
      </c>
      <c r="G23" s="15" t="s">
        <v>82</v>
      </c>
      <c r="H23" s="15" t="s">
        <v>378</v>
      </c>
      <c r="I23" s="15" t="s">
        <v>387</v>
      </c>
      <c r="J23" s="15" t="s">
        <v>388</v>
      </c>
      <c r="K23" s="15" t="s">
        <v>252</v>
      </c>
      <c r="L23" s="15" t="s">
        <v>389</v>
      </c>
      <c r="M23" s="15" t="s">
        <v>254</v>
      </c>
      <c r="N23" s="16" t="n">
        <v>1</v>
      </c>
      <c r="O23" s="19" t="s">
        <v>367</v>
      </c>
      <c r="P23" s="16" t="s">
        <v>382</v>
      </c>
      <c r="Q23" s="16" t="s">
        <v>314</v>
      </c>
      <c r="R23" s="15" t="s">
        <v>383</v>
      </c>
      <c r="S23" s="15" t="s">
        <v>384</v>
      </c>
    </row>
    <row r="24" customFormat="false" ht="97.5" hidden="false" customHeight="true" outlineLevel="0" collapsed="false">
      <c r="A24" s="14" t="s">
        <v>383</v>
      </c>
      <c r="B24" s="15" t="s">
        <v>80</v>
      </c>
      <c r="C24" s="15" t="s">
        <v>81</v>
      </c>
      <c r="D24" s="16" t="s">
        <v>308</v>
      </c>
      <c r="E24" s="15" t="s">
        <v>390</v>
      </c>
      <c r="F24" s="15" t="s">
        <v>153</v>
      </c>
      <c r="G24" s="15" t="s">
        <v>82</v>
      </c>
      <c r="H24" s="15" t="s">
        <v>391</v>
      </c>
      <c r="I24" s="15" t="s">
        <v>379</v>
      </c>
      <c r="J24" s="15" t="s">
        <v>392</v>
      </c>
      <c r="K24" s="15" t="s">
        <v>252</v>
      </c>
      <c r="L24" s="15" t="s">
        <v>393</v>
      </c>
      <c r="M24" s="15" t="s">
        <v>254</v>
      </c>
      <c r="N24" s="16" t="n">
        <v>3</v>
      </c>
      <c r="O24" s="17" t="s">
        <v>243</v>
      </c>
      <c r="P24" s="16" t="s">
        <v>382</v>
      </c>
      <c r="Q24" s="16" t="s">
        <v>314</v>
      </c>
      <c r="R24" s="15" t="s">
        <v>248</v>
      </c>
      <c r="S24" s="15" t="s">
        <v>394</v>
      </c>
    </row>
    <row r="25" customFormat="false" ht="28.5" hidden="false" customHeight="true" outlineLevel="0" collapsed="false">
      <c r="A25" s="14" t="s">
        <v>395</v>
      </c>
      <c r="B25" s="15" t="s">
        <v>80</v>
      </c>
      <c r="C25" s="15" t="s">
        <v>81</v>
      </c>
      <c r="D25" s="16" t="s">
        <v>308</v>
      </c>
      <c r="E25" s="15" t="s">
        <v>396</v>
      </c>
      <c r="F25" s="15" t="s">
        <v>153</v>
      </c>
      <c r="G25" s="15" t="s">
        <v>82</v>
      </c>
      <c r="H25" s="15" t="s">
        <v>397</v>
      </c>
      <c r="I25" s="15" t="s">
        <v>292</v>
      </c>
      <c r="J25" s="15" t="s">
        <v>398</v>
      </c>
      <c r="K25" s="15" t="s">
        <v>252</v>
      </c>
      <c r="L25" s="15" t="s">
        <v>399</v>
      </c>
      <c r="M25" s="15" t="s">
        <v>254</v>
      </c>
      <c r="N25" s="16" t="n">
        <v>1</v>
      </c>
      <c r="O25" s="19" t="s">
        <v>367</v>
      </c>
      <c r="P25" s="16" t="s">
        <v>382</v>
      </c>
      <c r="Q25" s="16" t="s">
        <v>314</v>
      </c>
      <c r="R25" s="15" t="s">
        <v>383</v>
      </c>
      <c r="S25" s="15" t="s">
        <v>400</v>
      </c>
    </row>
    <row r="26" customFormat="false" ht="51.75" hidden="false" customHeight="true" outlineLevel="0" collapsed="false">
      <c r="A26" s="14" t="s">
        <v>401</v>
      </c>
      <c r="B26" s="15" t="s">
        <v>80</v>
      </c>
      <c r="C26" s="15" t="s">
        <v>81</v>
      </c>
      <c r="D26" s="16" t="s">
        <v>308</v>
      </c>
      <c r="E26" s="15" t="s">
        <v>402</v>
      </c>
      <c r="F26" s="15" t="s">
        <v>153</v>
      </c>
      <c r="G26" s="15" t="s">
        <v>82</v>
      </c>
      <c r="H26" s="15" t="s">
        <v>403</v>
      </c>
      <c r="I26" s="15" t="s">
        <v>404</v>
      </c>
      <c r="J26" s="15" t="s">
        <v>405</v>
      </c>
      <c r="K26" s="15" t="s">
        <v>252</v>
      </c>
      <c r="L26" s="15" t="s">
        <v>406</v>
      </c>
      <c r="M26" s="15" t="s">
        <v>254</v>
      </c>
      <c r="N26" s="16" t="n">
        <v>2</v>
      </c>
      <c r="O26" s="18" t="s">
        <v>274</v>
      </c>
      <c r="P26" s="16" t="s">
        <v>382</v>
      </c>
      <c r="Q26" s="16" t="s">
        <v>314</v>
      </c>
      <c r="R26" s="15" t="s">
        <v>248</v>
      </c>
      <c r="S26" s="15" t="s">
        <v>322</v>
      </c>
    </row>
    <row r="27" customFormat="false" ht="28.5" hidden="false" customHeight="true" outlineLevel="0" collapsed="false">
      <c r="A27" s="14" t="s">
        <v>407</v>
      </c>
      <c r="B27" s="15" t="s">
        <v>80</v>
      </c>
      <c r="C27" s="15" t="s">
        <v>81</v>
      </c>
      <c r="D27" s="16" t="s">
        <v>308</v>
      </c>
      <c r="E27" s="15" t="s">
        <v>408</v>
      </c>
      <c r="F27" s="15" t="s">
        <v>153</v>
      </c>
      <c r="G27" s="15" t="s">
        <v>82</v>
      </c>
      <c r="H27" s="15" t="s">
        <v>310</v>
      </c>
      <c r="I27" s="15" t="s">
        <v>292</v>
      </c>
      <c r="J27" s="15" t="s">
        <v>409</v>
      </c>
      <c r="K27" s="15" t="s">
        <v>252</v>
      </c>
      <c r="L27" s="15" t="s">
        <v>410</v>
      </c>
      <c r="M27" s="15" t="s">
        <v>254</v>
      </c>
      <c r="N27" s="16" t="n">
        <v>2</v>
      </c>
      <c r="O27" s="19" t="s">
        <v>367</v>
      </c>
      <c r="P27" s="16" t="s">
        <v>382</v>
      </c>
      <c r="Q27" s="16" t="s">
        <v>314</v>
      </c>
      <c r="R27" s="15" t="s">
        <v>307</v>
      </c>
      <c r="S27" s="15" t="s">
        <v>316</v>
      </c>
    </row>
    <row r="28" customFormat="false" ht="51.75" hidden="false" customHeight="true" outlineLevel="0" collapsed="false">
      <c r="A28" s="14" t="s">
        <v>411</v>
      </c>
      <c r="B28" s="15" t="s">
        <v>80</v>
      </c>
      <c r="C28" s="15" t="s">
        <v>81</v>
      </c>
      <c r="D28" s="16" t="s">
        <v>308</v>
      </c>
      <c r="E28" s="15" t="s">
        <v>412</v>
      </c>
      <c r="F28" s="15" t="s">
        <v>156</v>
      </c>
      <c r="G28" s="15" t="s">
        <v>82</v>
      </c>
      <c r="H28" s="15" t="s">
        <v>237</v>
      </c>
      <c r="I28" s="15" t="s">
        <v>292</v>
      </c>
      <c r="J28" s="15" t="s">
        <v>413</v>
      </c>
      <c r="K28" s="15" t="s">
        <v>252</v>
      </c>
      <c r="L28" s="15" t="s">
        <v>414</v>
      </c>
      <c r="M28" s="15" t="s">
        <v>254</v>
      </c>
      <c r="N28" s="16" t="n">
        <v>3</v>
      </c>
      <c r="O28" s="19" t="s">
        <v>367</v>
      </c>
      <c r="P28" s="16" t="s">
        <v>261</v>
      </c>
      <c r="Q28" s="16" t="s">
        <v>314</v>
      </c>
      <c r="R28" s="15" t="s">
        <v>248</v>
      </c>
      <c r="S28" s="15" t="s">
        <v>415</v>
      </c>
    </row>
    <row r="29" customFormat="false" ht="51.75" hidden="false" customHeight="true" outlineLevel="0" collapsed="false">
      <c r="A29" s="14" t="s">
        <v>416</v>
      </c>
      <c r="B29" s="15" t="s">
        <v>80</v>
      </c>
      <c r="C29" s="15" t="s">
        <v>81</v>
      </c>
      <c r="D29" s="16" t="s">
        <v>234</v>
      </c>
      <c r="E29" s="15" t="s">
        <v>417</v>
      </c>
      <c r="F29" s="15" t="s">
        <v>156</v>
      </c>
      <c r="G29" s="15" t="s">
        <v>82</v>
      </c>
      <c r="H29" s="15" t="s">
        <v>237</v>
      </c>
      <c r="I29" s="15" t="s">
        <v>292</v>
      </c>
      <c r="J29" s="15" t="s">
        <v>418</v>
      </c>
      <c r="K29" s="15" t="s">
        <v>252</v>
      </c>
      <c r="L29" s="15" t="s">
        <v>419</v>
      </c>
      <c r="M29" s="15" t="s">
        <v>254</v>
      </c>
      <c r="N29" s="16" t="n">
        <v>2</v>
      </c>
      <c r="O29" s="18" t="s">
        <v>274</v>
      </c>
      <c r="P29" s="16" t="s">
        <v>352</v>
      </c>
      <c r="Q29" s="16" t="s">
        <v>314</v>
      </c>
      <c r="R29" s="15" t="s">
        <v>420</v>
      </c>
      <c r="S29" s="15" t="s">
        <v>421</v>
      </c>
    </row>
    <row r="30" customFormat="false" ht="86.25" hidden="false" customHeight="true" outlineLevel="0" collapsed="false">
      <c r="A30" s="11" t="s">
        <v>422</v>
      </c>
      <c r="B30" s="12" t="s">
        <v>89</v>
      </c>
      <c r="C30" s="12" t="s">
        <v>81</v>
      </c>
      <c r="D30" s="13" t="s">
        <v>234</v>
      </c>
      <c r="E30" s="12" t="s">
        <v>423</v>
      </c>
      <c r="F30" s="12" t="s">
        <v>159</v>
      </c>
      <c r="G30" s="12" t="s">
        <v>424</v>
      </c>
      <c r="H30" s="12" t="s">
        <v>425</v>
      </c>
      <c r="I30" s="12" t="s">
        <v>426</v>
      </c>
      <c r="J30" s="12" t="s">
        <v>427</v>
      </c>
      <c r="K30" s="12" t="s">
        <v>252</v>
      </c>
      <c r="L30" s="12" t="s">
        <v>428</v>
      </c>
      <c r="M30" s="12" t="s">
        <v>254</v>
      </c>
      <c r="N30" s="13" t="n">
        <v>3</v>
      </c>
      <c r="O30" s="17" t="s">
        <v>243</v>
      </c>
      <c r="P30" s="13" t="s">
        <v>382</v>
      </c>
      <c r="Q30" s="13" t="s">
        <v>314</v>
      </c>
      <c r="R30" s="12" t="s">
        <v>340</v>
      </c>
      <c r="S30" s="12" t="s">
        <v>429</v>
      </c>
    </row>
    <row r="31" customFormat="false" ht="40.5" hidden="false" customHeight="true" outlineLevel="0" collapsed="false">
      <c r="A31" s="11" t="s">
        <v>430</v>
      </c>
      <c r="B31" s="12" t="s">
        <v>89</v>
      </c>
      <c r="C31" s="12" t="s">
        <v>81</v>
      </c>
      <c r="D31" s="13" t="s">
        <v>234</v>
      </c>
      <c r="E31" s="12" t="s">
        <v>431</v>
      </c>
      <c r="F31" s="12" t="s">
        <v>159</v>
      </c>
      <c r="G31" s="12" t="s">
        <v>90</v>
      </c>
      <c r="H31" s="12" t="s">
        <v>237</v>
      </c>
      <c r="I31" s="12" t="s">
        <v>292</v>
      </c>
      <c r="J31" s="12" t="s">
        <v>432</v>
      </c>
      <c r="K31" s="12" t="s">
        <v>252</v>
      </c>
      <c r="L31" s="12" t="s">
        <v>433</v>
      </c>
      <c r="M31" s="12" t="s">
        <v>254</v>
      </c>
      <c r="N31" s="13" t="n">
        <v>2</v>
      </c>
      <c r="O31" s="17" t="s">
        <v>243</v>
      </c>
      <c r="P31" s="13" t="s">
        <v>382</v>
      </c>
      <c r="Q31" s="13" t="s">
        <v>314</v>
      </c>
      <c r="R31" s="12" t="s">
        <v>422</v>
      </c>
      <c r="S31" s="12" t="s">
        <v>434</v>
      </c>
    </row>
    <row r="32" customFormat="false" ht="51.75" hidden="false" customHeight="true" outlineLevel="0" collapsed="false">
      <c r="A32" s="11" t="s">
        <v>435</v>
      </c>
      <c r="B32" s="12" t="s">
        <v>89</v>
      </c>
      <c r="C32" s="12" t="s">
        <v>81</v>
      </c>
      <c r="D32" s="13" t="s">
        <v>308</v>
      </c>
      <c r="E32" s="12" t="s">
        <v>436</v>
      </c>
      <c r="F32" s="12" t="s">
        <v>159</v>
      </c>
      <c r="G32" s="12" t="s">
        <v>90</v>
      </c>
      <c r="H32" s="12" t="s">
        <v>425</v>
      </c>
      <c r="I32" s="12" t="s">
        <v>437</v>
      </c>
      <c r="J32" s="12" t="s">
        <v>438</v>
      </c>
      <c r="K32" s="12" t="s">
        <v>252</v>
      </c>
      <c r="L32" s="12" t="s">
        <v>439</v>
      </c>
      <c r="M32" s="12" t="s">
        <v>254</v>
      </c>
      <c r="N32" s="13" t="n">
        <v>1</v>
      </c>
      <c r="O32" s="18" t="s">
        <v>274</v>
      </c>
      <c r="P32" s="13" t="s">
        <v>382</v>
      </c>
      <c r="Q32" s="13" t="s">
        <v>314</v>
      </c>
      <c r="R32" s="12" t="s">
        <v>422</v>
      </c>
      <c r="S32" s="12" t="s">
        <v>440</v>
      </c>
    </row>
    <row r="33" customFormat="false" ht="75" hidden="false" customHeight="true" outlineLevel="0" collapsed="false">
      <c r="A33" s="11" t="s">
        <v>441</v>
      </c>
      <c r="B33" s="12" t="s">
        <v>89</v>
      </c>
      <c r="C33" s="12" t="s">
        <v>81</v>
      </c>
      <c r="D33" s="13" t="s">
        <v>308</v>
      </c>
      <c r="E33" s="12" t="s">
        <v>442</v>
      </c>
      <c r="F33" s="12" t="s">
        <v>167</v>
      </c>
      <c r="G33" s="12" t="s">
        <v>90</v>
      </c>
      <c r="H33" s="12" t="s">
        <v>443</v>
      </c>
      <c r="I33" s="12" t="s">
        <v>444</v>
      </c>
      <c r="J33" s="12" t="s">
        <v>445</v>
      </c>
      <c r="K33" s="12" t="s">
        <v>252</v>
      </c>
      <c r="L33" s="12" t="s">
        <v>446</v>
      </c>
      <c r="M33" s="12" t="s">
        <v>254</v>
      </c>
      <c r="N33" s="13" t="n">
        <v>3</v>
      </c>
      <c r="O33" s="18" t="s">
        <v>274</v>
      </c>
      <c r="P33" s="13" t="s">
        <v>447</v>
      </c>
      <c r="Q33" s="13" t="s">
        <v>448</v>
      </c>
      <c r="R33" s="12" t="s">
        <v>430</v>
      </c>
      <c r="S33" s="12" t="s">
        <v>449</v>
      </c>
    </row>
    <row r="34" customFormat="false" ht="40.5" hidden="false" customHeight="true" outlineLevel="0" collapsed="false">
      <c r="A34" s="11" t="s">
        <v>450</v>
      </c>
      <c r="B34" s="12" t="s">
        <v>89</v>
      </c>
      <c r="C34" s="12" t="s">
        <v>81</v>
      </c>
      <c r="D34" s="13" t="s">
        <v>308</v>
      </c>
      <c r="E34" s="12" t="s">
        <v>451</v>
      </c>
      <c r="F34" s="12" t="s">
        <v>167</v>
      </c>
      <c r="G34" s="12" t="s">
        <v>90</v>
      </c>
      <c r="H34" s="12" t="s">
        <v>443</v>
      </c>
      <c r="I34" s="12" t="s">
        <v>292</v>
      </c>
      <c r="J34" s="12" t="s">
        <v>452</v>
      </c>
      <c r="K34" s="12" t="s">
        <v>252</v>
      </c>
      <c r="L34" s="12" t="s">
        <v>453</v>
      </c>
      <c r="M34" s="12" t="s">
        <v>254</v>
      </c>
      <c r="N34" s="13" t="n">
        <v>1</v>
      </c>
      <c r="O34" s="18" t="s">
        <v>274</v>
      </c>
      <c r="P34" s="13" t="s">
        <v>447</v>
      </c>
      <c r="Q34" s="13" t="s">
        <v>448</v>
      </c>
      <c r="R34" s="12" t="s">
        <v>441</v>
      </c>
      <c r="S34" s="12" t="s">
        <v>454</v>
      </c>
    </row>
    <row r="35" customFormat="false" ht="51.75" hidden="false" customHeight="true" outlineLevel="0" collapsed="false">
      <c r="A35" s="11" t="s">
        <v>455</v>
      </c>
      <c r="B35" s="12" t="s">
        <v>89</v>
      </c>
      <c r="C35" s="12" t="s">
        <v>81</v>
      </c>
      <c r="D35" s="13" t="s">
        <v>308</v>
      </c>
      <c r="E35" s="12" t="s">
        <v>456</v>
      </c>
      <c r="F35" s="12" t="s">
        <v>167</v>
      </c>
      <c r="G35" s="12" t="s">
        <v>90</v>
      </c>
      <c r="H35" s="12" t="s">
        <v>443</v>
      </c>
      <c r="I35" s="12" t="s">
        <v>349</v>
      </c>
      <c r="J35" s="12" t="s">
        <v>457</v>
      </c>
      <c r="K35" s="12" t="s">
        <v>252</v>
      </c>
      <c r="L35" s="12" t="s">
        <v>458</v>
      </c>
      <c r="M35" s="12" t="s">
        <v>254</v>
      </c>
      <c r="N35" s="13" t="n">
        <v>3</v>
      </c>
      <c r="O35" s="18" t="s">
        <v>274</v>
      </c>
      <c r="P35" s="13" t="s">
        <v>447</v>
      </c>
      <c r="Q35" s="13" t="s">
        <v>448</v>
      </c>
      <c r="R35" s="12" t="s">
        <v>459</v>
      </c>
      <c r="S35" s="12" t="s">
        <v>460</v>
      </c>
    </row>
    <row r="36" customFormat="false" ht="63" hidden="false" customHeight="true" outlineLevel="0" collapsed="false">
      <c r="A36" s="11" t="s">
        <v>461</v>
      </c>
      <c r="B36" s="12" t="s">
        <v>89</v>
      </c>
      <c r="C36" s="12" t="s">
        <v>81</v>
      </c>
      <c r="D36" s="13" t="s">
        <v>308</v>
      </c>
      <c r="E36" s="12" t="s">
        <v>462</v>
      </c>
      <c r="F36" s="12" t="s">
        <v>167</v>
      </c>
      <c r="G36" s="12" t="s">
        <v>90</v>
      </c>
      <c r="H36" s="12" t="s">
        <v>443</v>
      </c>
      <c r="I36" s="12" t="s">
        <v>463</v>
      </c>
      <c r="J36" s="12" t="s">
        <v>464</v>
      </c>
      <c r="K36" s="12" t="s">
        <v>465</v>
      </c>
      <c r="L36" s="12" t="s">
        <v>466</v>
      </c>
      <c r="M36" s="12" t="s">
        <v>254</v>
      </c>
      <c r="N36" s="13" t="n">
        <v>2</v>
      </c>
      <c r="O36" s="18" t="s">
        <v>274</v>
      </c>
      <c r="P36" s="13" t="s">
        <v>447</v>
      </c>
      <c r="Q36" s="13" t="s">
        <v>448</v>
      </c>
      <c r="R36" s="12" t="s">
        <v>467</v>
      </c>
      <c r="S36" s="12" t="s">
        <v>460</v>
      </c>
    </row>
    <row r="37" customFormat="false" ht="51.75" hidden="false" customHeight="true" outlineLevel="0" collapsed="false">
      <c r="A37" s="11" t="s">
        <v>468</v>
      </c>
      <c r="B37" s="12" t="s">
        <v>89</v>
      </c>
      <c r="C37" s="12" t="s">
        <v>81</v>
      </c>
      <c r="D37" s="13" t="s">
        <v>308</v>
      </c>
      <c r="E37" s="12" t="s">
        <v>469</v>
      </c>
      <c r="F37" s="12" t="s">
        <v>170</v>
      </c>
      <c r="G37" s="12" t="s">
        <v>90</v>
      </c>
      <c r="H37" s="12" t="s">
        <v>470</v>
      </c>
      <c r="I37" s="12" t="s">
        <v>379</v>
      </c>
      <c r="J37" s="12" t="s">
        <v>471</v>
      </c>
      <c r="K37" s="12" t="s">
        <v>252</v>
      </c>
      <c r="L37" s="12" t="s">
        <v>472</v>
      </c>
      <c r="M37" s="12" t="s">
        <v>254</v>
      </c>
      <c r="N37" s="13" t="n">
        <v>2</v>
      </c>
      <c r="O37" s="19" t="s">
        <v>367</v>
      </c>
      <c r="P37" s="13" t="s">
        <v>382</v>
      </c>
      <c r="Q37" s="13" t="s">
        <v>314</v>
      </c>
      <c r="R37" s="12" t="s">
        <v>461</v>
      </c>
      <c r="S37" s="12" t="s">
        <v>473</v>
      </c>
    </row>
    <row r="38" customFormat="false" ht="40.5" hidden="false" customHeight="true" outlineLevel="0" collapsed="false">
      <c r="A38" s="11" t="s">
        <v>474</v>
      </c>
      <c r="B38" s="12" t="s">
        <v>89</v>
      </c>
      <c r="C38" s="12" t="s">
        <v>81</v>
      </c>
      <c r="D38" s="13" t="s">
        <v>308</v>
      </c>
      <c r="E38" s="12" t="s">
        <v>475</v>
      </c>
      <c r="F38" s="12" t="s">
        <v>170</v>
      </c>
      <c r="G38" s="12" t="s">
        <v>90</v>
      </c>
      <c r="H38" s="12" t="s">
        <v>476</v>
      </c>
      <c r="I38" s="12" t="s">
        <v>477</v>
      </c>
      <c r="J38" s="12" t="s">
        <v>478</v>
      </c>
      <c r="K38" s="12" t="s">
        <v>252</v>
      </c>
      <c r="L38" s="12" t="s">
        <v>479</v>
      </c>
      <c r="M38" s="12" t="s">
        <v>254</v>
      </c>
      <c r="N38" s="13" t="n">
        <v>1</v>
      </c>
      <c r="O38" s="19" t="s">
        <v>367</v>
      </c>
      <c r="P38" s="13" t="s">
        <v>382</v>
      </c>
      <c r="Q38" s="13" t="s">
        <v>314</v>
      </c>
      <c r="R38" s="12" t="s">
        <v>422</v>
      </c>
      <c r="S38" s="12" t="s">
        <v>480</v>
      </c>
    </row>
    <row r="39" customFormat="false" ht="40.5" hidden="false" customHeight="true" outlineLevel="0" collapsed="false">
      <c r="A39" s="11" t="s">
        <v>481</v>
      </c>
      <c r="B39" s="12" t="s">
        <v>89</v>
      </c>
      <c r="C39" s="12" t="s">
        <v>81</v>
      </c>
      <c r="D39" s="13" t="s">
        <v>234</v>
      </c>
      <c r="E39" s="12" t="s">
        <v>482</v>
      </c>
      <c r="F39" s="12" t="s">
        <v>170</v>
      </c>
      <c r="G39" s="12" t="s">
        <v>90</v>
      </c>
      <c r="H39" s="12" t="s">
        <v>237</v>
      </c>
      <c r="I39" s="12" t="s">
        <v>292</v>
      </c>
      <c r="J39" s="12" t="s">
        <v>483</v>
      </c>
      <c r="K39" s="12" t="s">
        <v>252</v>
      </c>
      <c r="L39" s="12" t="s">
        <v>484</v>
      </c>
      <c r="M39" s="12" t="s">
        <v>254</v>
      </c>
      <c r="N39" s="13" t="n">
        <v>3</v>
      </c>
      <c r="O39" s="18" t="s">
        <v>274</v>
      </c>
      <c r="P39" s="13" t="s">
        <v>447</v>
      </c>
      <c r="Q39" s="13" t="s">
        <v>314</v>
      </c>
      <c r="R39" s="12" t="s">
        <v>485</v>
      </c>
      <c r="S39" s="12" t="s">
        <v>486</v>
      </c>
    </row>
    <row r="40" customFormat="false" ht="63" hidden="false" customHeight="true" outlineLevel="0" collapsed="false">
      <c r="A40" s="14" t="s">
        <v>487</v>
      </c>
      <c r="B40" s="15" t="s">
        <v>96</v>
      </c>
      <c r="C40" s="15" t="s">
        <v>97</v>
      </c>
      <c r="D40" s="16" t="s">
        <v>234</v>
      </c>
      <c r="E40" s="15" t="s">
        <v>488</v>
      </c>
      <c r="F40" s="15" t="s">
        <v>173</v>
      </c>
      <c r="G40" s="15" t="s">
        <v>98</v>
      </c>
      <c r="H40" s="15" t="s">
        <v>237</v>
      </c>
      <c r="I40" s="15" t="s">
        <v>292</v>
      </c>
      <c r="J40" s="15" t="s">
        <v>489</v>
      </c>
      <c r="K40" s="15" t="s">
        <v>252</v>
      </c>
      <c r="L40" s="15" t="s">
        <v>490</v>
      </c>
      <c r="M40" s="15" t="s">
        <v>254</v>
      </c>
      <c r="N40" s="16" t="n">
        <v>2</v>
      </c>
      <c r="O40" s="17" t="s">
        <v>243</v>
      </c>
      <c r="P40" s="16" t="s">
        <v>244</v>
      </c>
      <c r="Q40" s="16" t="s">
        <v>314</v>
      </c>
      <c r="R40" s="15" t="s">
        <v>315</v>
      </c>
      <c r="S40" s="15" t="s">
        <v>491</v>
      </c>
    </row>
    <row r="41" customFormat="false" ht="63" hidden="false" customHeight="true" outlineLevel="0" collapsed="false">
      <c r="A41" s="14" t="s">
        <v>492</v>
      </c>
      <c r="B41" s="15" t="s">
        <v>96</v>
      </c>
      <c r="C41" s="15" t="s">
        <v>97</v>
      </c>
      <c r="D41" s="16" t="s">
        <v>308</v>
      </c>
      <c r="E41" s="15" t="s">
        <v>493</v>
      </c>
      <c r="F41" s="15" t="s">
        <v>173</v>
      </c>
      <c r="G41" s="15" t="s">
        <v>98</v>
      </c>
      <c r="H41" s="15" t="s">
        <v>494</v>
      </c>
      <c r="I41" s="15" t="s">
        <v>495</v>
      </c>
      <c r="J41" s="15" t="s">
        <v>496</v>
      </c>
      <c r="K41" s="15" t="s">
        <v>497</v>
      </c>
      <c r="L41" s="15" t="s">
        <v>498</v>
      </c>
      <c r="M41" s="15" t="s">
        <v>254</v>
      </c>
      <c r="N41" s="16" t="n">
        <v>2</v>
      </c>
      <c r="O41" s="17" t="s">
        <v>243</v>
      </c>
      <c r="P41" s="16" t="s">
        <v>261</v>
      </c>
      <c r="Q41" s="16" t="s">
        <v>314</v>
      </c>
      <c r="R41" s="15" t="s">
        <v>487</v>
      </c>
      <c r="S41" s="15" t="s">
        <v>499</v>
      </c>
    </row>
    <row r="42" customFormat="false" ht="63" hidden="false" customHeight="true" outlineLevel="0" collapsed="false">
      <c r="A42" s="14" t="s">
        <v>500</v>
      </c>
      <c r="B42" s="15" t="s">
        <v>96</v>
      </c>
      <c r="C42" s="15" t="s">
        <v>97</v>
      </c>
      <c r="D42" s="16" t="s">
        <v>308</v>
      </c>
      <c r="E42" s="15" t="s">
        <v>501</v>
      </c>
      <c r="F42" s="15" t="s">
        <v>173</v>
      </c>
      <c r="G42" s="15" t="s">
        <v>98</v>
      </c>
      <c r="H42" s="15" t="s">
        <v>502</v>
      </c>
      <c r="I42" s="15" t="s">
        <v>503</v>
      </c>
      <c r="J42" s="15" t="s">
        <v>504</v>
      </c>
      <c r="K42" s="15" t="s">
        <v>505</v>
      </c>
      <c r="L42" s="15" t="s">
        <v>506</v>
      </c>
      <c r="M42" s="15" t="s">
        <v>254</v>
      </c>
      <c r="N42" s="16" t="n">
        <v>2</v>
      </c>
      <c r="O42" s="17" t="s">
        <v>243</v>
      </c>
      <c r="P42" s="16" t="s">
        <v>261</v>
      </c>
      <c r="Q42" s="16" t="s">
        <v>314</v>
      </c>
      <c r="R42" s="15" t="s">
        <v>492</v>
      </c>
      <c r="S42" s="15" t="s">
        <v>499</v>
      </c>
    </row>
    <row r="43" customFormat="false" ht="75" hidden="false" customHeight="true" outlineLevel="0" collapsed="false">
      <c r="A43" s="14" t="s">
        <v>507</v>
      </c>
      <c r="B43" s="15" t="s">
        <v>96</v>
      </c>
      <c r="C43" s="15" t="s">
        <v>97</v>
      </c>
      <c r="D43" s="16" t="s">
        <v>308</v>
      </c>
      <c r="E43" s="15" t="s">
        <v>508</v>
      </c>
      <c r="F43" s="15" t="s">
        <v>173</v>
      </c>
      <c r="G43" s="15" t="s">
        <v>98</v>
      </c>
      <c r="H43" s="15" t="s">
        <v>509</v>
      </c>
      <c r="I43" s="15" t="s">
        <v>510</v>
      </c>
      <c r="J43" s="15" t="s">
        <v>511</v>
      </c>
      <c r="K43" s="15" t="s">
        <v>252</v>
      </c>
      <c r="L43" s="15" t="s">
        <v>512</v>
      </c>
      <c r="M43" s="15" t="s">
        <v>254</v>
      </c>
      <c r="N43" s="16" t="n">
        <v>3</v>
      </c>
      <c r="O43" s="18" t="s">
        <v>274</v>
      </c>
      <c r="P43" s="16" t="s">
        <v>261</v>
      </c>
      <c r="Q43" s="16" t="s">
        <v>314</v>
      </c>
      <c r="R43" s="15" t="s">
        <v>500</v>
      </c>
      <c r="S43" s="15" t="s">
        <v>513</v>
      </c>
    </row>
    <row r="44" customFormat="false" ht="75" hidden="false" customHeight="true" outlineLevel="0" collapsed="false">
      <c r="A44" s="14" t="s">
        <v>514</v>
      </c>
      <c r="B44" s="15" t="s">
        <v>96</v>
      </c>
      <c r="C44" s="15" t="s">
        <v>97</v>
      </c>
      <c r="D44" s="16" t="s">
        <v>308</v>
      </c>
      <c r="E44" s="15" t="s">
        <v>515</v>
      </c>
      <c r="F44" s="15" t="s">
        <v>181</v>
      </c>
      <c r="G44" s="15" t="s">
        <v>98</v>
      </c>
      <c r="H44" s="15" t="s">
        <v>516</v>
      </c>
      <c r="I44" s="15" t="s">
        <v>517</v>
      </c>
      <c r="J44" s="15" t="s">
        <v>518</v>
      </c>
      <c r="K44" s="15" t="s">
        <v>252</v>
      </c>
      <c r="L44" s="15" t="s">
        <v>519</v>
      </c>
      <c r="M44" s="15" t="s">
        <v>254</v>
      </c>
      <c r="N44" s="16" t="n">
        <v>3</v>
      </c>
      <c r="O44" s="18" t="s">
        <v>274</v>
      </c>
      <c r="P44" s="16" t="s">
        <v>382</v>
      </c>
      <c r="Q44" s="16" t="s">
        <v>314</v>
      </c>
      <c r="R44" s="15" t="s">
        <v>520</v>
      </c>
      <c r="S44" s="15" t="s">
        <v>521</v>
      </c>
    </row>
    <row r="45" customFormat="false" ht="28.5" hidden="false" customHeight="true" outlineLevel="0" collapsed="false">
      <c r="A45" s="14" t="s">
        <v>522</v>
      </c>
      <c r="B45" s="15" t="s">
        <v>96</v>
      </c>
      <c r="C45" s="15" t="s">
        <v>97</v>
      </c>
      <c r="D45" s="16" t="s">
        <v>308</v>
      </c>
      <c r="E45" s="15" t="s">
        <v>523</v>
      </c>
      <c r="F45" s="15" t="s">
        <v>181</v>
      </c>
      <c r="G45" s="15" t="s">
        <v>98</v>
      </c>
      <c r="H45" s="15" t="s">
        <v>516</v>
      </c>
      <c r="I45" s="15" t="s">
        <v>292</v>
      </c>
      <c r="J45" s="15" t="s">
        <v>524</v>
      </c>
      <c r="K45" s="15" t="s">
        <v>252</v>
      </c>
      <c r="L45" s="15" t="s">
        <v>525</v>
      </c>
      <c r="M45" s="15" t="s">
        <v>254</v>
      </c>
      <c r="N45" s="16" t="n">
        <v>1</v>
      </c>
      <c r="O45" s="19" t="s">
        <v>367</v>
      </c>
      <c r="P45" s="16" t="s">
        <v>382</v>
      </c>
      <c r="Q45" s="16" t="s">
        <v>314</v>
      </c>
      <c r="R45" s="15" t="s">
        <v>514</v>
      </c>
      <c r="S45" s="15" t="s">
        <v>526</v>
      </c>
    </row>
    <row r="46" customFormat="false" ht="51.75" hidden="false" customHeight="true" outlineLevel="0" collapsed="false">
      <c r="A46" s="14" t="s">
        <v>527</v>
      </c>
      <c r="B46" s="15" t="s">
        <v>96</v>
      </c>
      <c r="C46" s="15" t="s">
        <v>97</v>
      </c>
      <c r="D46" s="16" t="s">
        <v>308</v>
      </c>
      <c r="E46" s="15" t="s">
        <v>528</v>
      </c>
      <c r="F46" s="15" t="s">
        <v>181</v>
      </c>
      <c r="G46" s="15" t="s">
        <v>98</v>
      </c>
      <c r="H46" s="15" t="s">
        <v>529</v>
      </c>
      <c r="I46" s="15" t="s">
        <v>530</v>
      </c>
      <c r="J46" s="15" t="s">
        <v>531</v>
      </c>
      <c r="K46" s="15" t="s">
        <v>252</v>
      </c>
      <c r="L46" s="15" t="s">
        <v>532</v>
      </c>
      <c r="M46" s="15" t="s">
        <v>254</v>
      </c>
      <c r="N46" s="16" t="n">
        <v>1</v>
      </c>
      <c r="O46" s="19" t="s">
        <v>367</v>
      </c>
      <c r="P46" s="16" t="s">
        <v>382</v>
      </c>
      <c r="Q46" s="16" t="s">
        <v>314</v>
      </c>
      <c r="R46" s="15" t="s">
        <v>500</v>
      </c>
      <c r="S46" s="15" t="s">
        <v>533</v>
      </c>
    </row>
    <row r="47" customFormat="false" ht="51.75" hidden="false" customHeight="true" outlineLevel="0" collapsed="false">
      <c r="A47" s="14" t="s">
        <v>534</v>
      </c>
      <c r="B47" s="15" t="s">
        <v>96</v>
      </c>
      <c r="C47" s="15" t="s">
        <v>97</v>
      </c>
      <c r="D47" s="16" t="s">
        <v>308</v>
      </c>
      <c r="E47" s="15" t="s">
        <v>535</v>
      </c>
      <c r="F47" s="15" t="s">
        <v>181</v>
      </c>
      <c r="G47" s="15" t="s">
        <v>98</v>
      </c>
      <c r="H47" s="15" t="s">
        <v>516</v>
      </c>
      <c r="I47" s="15" t="s">
        <v>536</v>
      </c>
      <c r="J47" s="15" t="s">
        <v>537</v>
      </c>
      <c r="K47" s="15" t="s">
        <v>252</v>
      </c>
      <c r="L47" s="15" t="s">
        <v>538</v>
      </c>
      <c r="M47" s="15" t="s">
        <v>254</v>
      </c>
      <c r="N47" s="16" t="n">
        <v>1</v>
      </c>
      <c r="O47" s="19" t="s">
        <v>367</v>
      </c>
      <c r="P47" s="16" t="s">
        <v>382</v>
      </c>
      <c r="Q47" s="16" t="s">
        <v>314</v>
      </c>
      <c r="R47" s="15" t="s">
        <v>233</v>
      </c>
      <c r="S47" s="15" t="s">
        <v>539</v>
      </c>
    </row>
    <row r="48" customFormat="false" ht="51.75" hidden="false" customHeight="true" outlineLevel="0" collapsed="false">
      <c r="A48" s="14" t="s">
        <v>540</v>
      </c>
      <c r="B48" s="15" t="s">
        <v>96</v>
      </c>
      <c r="C48" s="15" t="s">
        <v>97</v>
      </c>
      <c r="D48" s="16" t="s">
        <v>234</v>
      </c>
      <c r="E48" s="15" t="s">
        <v>541</v>
      </c>
      <c r="F48" s="15" t="s">
        <v>184</v>
      </c>
      <c r="G48" s="15" t="s">
        <v>98</v>
      </c>
      <c r="H48" s="15" t="s">
        <v>237</v>
      </c>
      <c r="I48" s="15" t="s">
        <v>542</v>
      </c>
      <c r="J48" s="15" t="s">
        <v>543</v>
      </c>
      <c r="K48" s="15" t="s">
        <v>252</v>
      </c>
      <c r="L48" s="15" t="s">
        <v>544</v>
      </c>
      <c r="M48" s="15" t="s">
        <v>254</v>
      </c>
      <c r="N48" s="16" t="n">
        <v>2</v>
      </c>
      <c r="O48" s="17" t="s">
        <v>243</v>
      </c>
      <c r="P48" s="16" t="s">
        <v>382</v>
      </c>
      <c r="Q48" s="16" t="s">
        <v>314</v>
      </c>
      <c r="R48" s="15" t="s">
        <v>276</v>
      </c>
      <c r="S48" s="15" t="s">
        <v>545</v>
      </c>
    </row>
    <row r="49" customFormat="false" ht="51.75" hidden="false" customHeight="true" outlineLevel="0" collapsed="false">
      <c r="A49" s="14" t="s">
        <v>546</v>
      </c>
      <c r="B49" s="15" t="s">
        <v>96</v>
      </c>
      <c r="C49" s="15" t="s">
        <v>97</v>
      </c>
      <c r="D49" s="16" t="s">
        <v>234</v>
      </c>
      <c r="E49" s="15" t="s">
        <v>417</v>
      </c>
      <c r="F49" s="15" t="s">
        <v>184</v>
      </c>
      <c r="G49" s="15" t="s">
        <v>98</v>
      </c>
      <c r="H49" s="15" t="s">
        <v>237</v>
      </c>
      <c r="I49" s="15" t="s">
        <v>292</v>
      </c>
      <c r="J49" s="15" t="s">
        <v>547</v>
      </c>
      <c r="K49" s="15" t="s">
        <v>252</v>
      </c>
      <c r="L49" s="15" t="s">
        <v>548</v>
      </c>
      <c r="M49" s="15" t="s">
        <v>254</v>
      </c>
      <c r="N49" s="16" t="n">
        <v>1</v>
      </c>
      <c r="O49" s="18" t="s">
        <v>274</v>
      </c>
      <c r="P49" s="16" t="s">
        <v>382</v>
      </c>
      <c r="Q49" s="16" t="s">
        <v>314</v>
      </c>
      <c r="R49" s="15" t="s">
        <v>549</v>
      </c>
      <c r="S49" s="15" t="s">
        <v>550</v>
      </c>
    </row>
    <row r="50" customFormat="false" ht="63" hidden="false" customHeight="true" outlineLevel="0" collapsed="false">
      <c r="A50" s="11" t="s">
        <v>551</v>
      </c>
      <c r="B50" s="12" t="s">
        <v>105</v>
      </c>
      <c r="C50" s="12" t="s">
        <v>97</v>
      </c>
      <c r="D50" s="13" t="s">
        <v>234</v>
      </c>
      <c r="E50" s="12" t="s">
        <v>552</v>
      </c>
      <c r="F50" s="12" t="s">
        <v>187</v>
      </c>
      <c r="G50" s="12" t="s">
        <v>106</v>
      </c>
      <c r="H50" s="12" t="s">
        <v>237</v>
      </c>
      <c r="I50" s="12" t="s">
        <v>553</v>
      </c>
      <c r="J50" s="12" t="s">
        <v>554</v>
      </c>
      <c r="K50" s="12" t="s">
        <v>252</v>
      </c>
      <c r="L50" s="12" t="s">
        <v>555</v>
      </c>
      <c r="M50" s="12" t="s">
        <v>556</v>
      </c>
      <c r="N50" s="13" t="n">
        <v>3</v>
      </c>
      <c r="O50" s="17" t="s">
        <v>243</v>
      </c>
      <c r="P50" s="13" t="s">
        <v>244</v>
      </c>
      <c r="Q50" s="13" t="s">
        <v>314</v>
      </c>
      <c r="R50" s="12" t="s">
        <v>233</v>
      </c>
      <c r="S50" s="12" t="s">
        <v>557</v>
      </c>
    </row>
    <row r="51" customFormat="false" ht="40.5" hidden="false" customHeight="true" outlineLevel="0" collapsed="false">
      <c r="A51" s="11" t="s">
        <v>558</v>
      </c>
      <c r="B51" s="12" t="s">
        <v>105</v>
      </c>
      <c r="C51" s="12" t="s">
        <v>97</v>
      </c>
      <c r="D51" s="13" t="s">
        <v>308</v>
      </c>
      <c r="E51" s="12" t="s">
        <v>559</v>
      </c>
      <c r="F51" s="12" t="s">
        <v>187</v>
      </c>
      <c r="G51" s="12" t="s">
        <v>106</v>
      </c>
      <c r="H51" s="12" t="s">
        <v>560</v>
      </c>
      <c r="I51" s="12" t="s">
        <v>292</v>
      </c>
      <c r="J51" s="12" t="s">
        <v>561</v>
      </c>
      <c r="K51" s="12" t="s">
        <v>252</v>
      </c>
      <c r="L51" s="12" t="s">
        <v>562</v>
      </c>
      <c r="M51" s="12" t="s">
        <v>254</v>
      </c>
      <c r="N51" s="13" t="n">
        <v>3</v>
      </c>
      <c r="O51" s="17" t="s">
        <v>243</v>
      </c>
      <c r="P51" s="13" t="s">
        <v>261</v>
      </c>
      <c r="Q51" s="13" t="s">
        <v>314</v>
      </c>
      <c r="R51" s="12" t="s">
        <v>551</v>
      </c>
      <c r="S51" s="12" t="s">
        <v>563</v>
      </c>
    </row>
    <row r="52" customFormat="false" ht="63" hidden="false" customHeight="true" outlineLevel="0" collapsed="false">
      <c r="A52" s="11" t="s">
        <v>564</v>
      </c>
      <c r="B52" s="12" t="s">
        <v>105</v>
      </c>
      <c r="C52" s="12" t="s">
        <v>97</v>
      </c>
      <c r="D52" s="13" t="s">
        <v>308</v>
      </c>
      <c r="E52" s="12" t="s">
        <v>565</v>
      </c>
      <c r="F52" s="12" t="s">
        <v>187</v>
      </c>
      <c r="G52" s="12" t="s">
        <v>106</v>
      </c>
      <c r="H52" s="12" t="s">
        <v>560</v>
      </c>
      <c r="I52" s="12" t="s">
        <v>566</v>
      </c>
      <c r="J52" s="12" t="s">
        <v>567</v>
      </c>
      <c r="K52" s="12" t="s">
        <v>568</v>
      </c>
      <c r="L52" s="12" t="s">
        <v>569</v>
      </c>
      <c r="M52" s="12" t="s">
        <v>254</v>
      </c>
      <c r="N52" s="13" t="n">
        <v>2</v>
      </c>
      <c r="O52" s="17" t="s">
        <v>243</v>
      </c>
      <c r="P52" s="13" t="s">
        <v>261</v>
      </c>
      <c r="Q52" s="13" t="s">
        <v>314</v>
      </c>
      <c r="R52" s="12" t="s">
        <v>558</v>
      </c>
      <c r="S52" s="12" t="s">
        <v>570</v>
      </c>
    </row>
    <row r="53" customFormat="false" ht="40.5" hidden="false" customHeight="true" outlineLevel="0" collapsed="false">
      <c r="A53" s="11" t="s">
        <v>571</v>
      </c>
      <c r="B53" s="12" t="s">
        <v>105</v>
      </c>
      <c r="C53" s="12" t="s">
        <v>97</v>
      </c>
      <c r="D53" s="13" t="s">
        <v>308</v>
      </c>
      <c r="E53" s="12" t="s">
        <v>572</v>
      </c>
      <c r="F53" s="12" t="s">
        <v>195</v>
      </c>
      <c r="G53" s="12" t="s">
        <v>106</v>
      </c>
      <c r="H53" s="12" t="s">
        <v>573</v>
      </c>
      <c r="I53" s="12" t="s">
        <v>292</v>
      </c>
      <c r="J53" s="12" t="s">
        <v>574</v>
      </c>
      <c r="K53" s="12" t="s">
        <v>252</v>
      </c>
      <c r="L53" s="12" t="s">
        <v>575</v>
      </c>
      <c r="M53" s="12" t="s">
        <v>254</v>
      </c>
      <c r="N53" s="13" t="n">
        <v>1</v>
      </c>
      <c r="O53" s="19" t="s">
        <v>367</v>
      </c>
      <c r="P53" s="13" t="s">
        <v>261</v>
      </c>
      <c r="Q53" s="13" t="s">
        <v>314</v>
      </c>
      <c r="R53" s="12" t="s">
        <v>564</v>
      </c>
      <c r="S53" s="12" t="s">
        <v>576</v>
      </c>
    </row>
    <row r="54" customFormat="false" ht="28.5" hidden="false" customHeight="true" outlineLevel="0" collapsed="false">
      <c r="A54" s="11" t="s">
        <v>577</v>
      </c>
      <c r="B54" s="12" t="s">
        <v>105</v>
      </c>
      <c r="C54" s="12" t="s">
        <v>97</v>
      </c>
      <c r="D54" s="13" t="s">
        <v>308</v>
      </c>
      <c r="E54" s="12" t="s">
        <v>578</v>
      </c>
      <c r="F54" s="12" t="s">
        <v>195</v>
      </c>
      <c r="G54" s="12" t="s">
        <v>106</v>
      </c>
      <c r="H54" s="12" t="s">
        <v>573</v>
      </c>
      <c r="I54" s="12" t="s">
        <v>292</v>
      </c>
      <c r="J54" s="12" t="s">
        <v>579</v>
      </c>
      <c r="K54" s="12" t="s">
        <v>252</v>
      </c>
      <c r="L54" s="12" t="s">
        <v>580</v>
      </c>
      <c r="M54" s="12" t="s">
        <v>254</v>
      </c>
      <c r="N54" s="13" t="n">
        <v>1</v>
      </c>
      <c r="O54" s="18" t="s">
        <v>274</v>
      </c>
      <c r="P54" s="13" t="s">
        <v>261</v>
      </c>
      <c r="Q54" s="13" t="s">
        <v>314</v>
      </c>
      <c r="R54" s="12" t="s">
        <v>564</v>
      </c>
      <c r="S54" s="12" t="s">
        <v>570</v>
      </c>
    </row>
    <row r="55" customFormat="false" ht="51.75" hidden="false" customHeight="true" outlineLevel="0" collapsed="false">
      <c r="A55" s="11" t="s">
        <v>581</v>
      </c>
      <c r="B55" s="12" t="s">
        <v>105</v>
      </c>
      <c r="C55" s="12" t="s">
        <v>97</v>
      </c>
      <c r="D55" s="13" t="s">
        <v>234</v>
      </c>
      <c r="E55" s="12" t="s">
        <v>582</v>
      </c>
      <c r="F55" s="12" t="s">
        <v>195</v>
      </c>
      <c r="G55" s="12" t="s">
        <v>106</v>
      </c>
      <c r="H55" s="12" t="s">
        <v>560</v>
      </c>
      <c r="I55" s="12" t="s">
        <v>292</v>
      </c>
      <c r="J55" s="12" t="s">
        <v>583</v>
      </c>
      <c r="K55" s="12" t="s">
        <v>252</v>
      </c>
      <c r="L55" s="12" t="s">
        <v>584</v>
      </c>
      <c r="M55" s="12" t="s">
        <v>254</v>
      </c>
      <c r="N55" s="13" t="n">
        <v>2</v>
      </c>
      <c r="O55" s="19" t="s">
        <v>367</v>
      </c>
      <c r="P55" s="13" t="s">
        <v>261</v>
      </c>
      <c r="Q55" s="13" t="s">
        <v>314</v>
      </c>
      <c r="R55" s="12" t="s">
        <v>558</v>
      </c>
      <c r="S55" s="12" t="s">
        <v>585</v>
      </c>
    </row>
    <row r="56" customFormat="false" ht="51.75" hidden="false" customHeight="true" outlineLevel="0" collapsed="false">
      <c r="A56" s="11" t="s">
        <v>586</v>
      </c>
      <c r="B56" s="12" t="s">
        <v>105</v>
      </c>
      <c r="C56" s="12" t="s">
        <v>97</v>
      </c>
      <c r="D56" s="13" t="s">
        <v>234</v>
      </c>
      <c r="E56" s="12" t="s">
        <v>587</v>
      </c>
      <c r="F56" s="12" t="s">
        <v>195</v>
      </c>
      <c r="G56" s="12" t="s">
        <v>106</v>
      </c>
      <c r="H56" s="12" t="s">
        <v>237</v>
      </c>
      <c r="I56" s="12" t="s">
        <v>292</v>
      </c>
      <c r="J56" s="12" t="s">
        <v>588</v>
      </c>
      <c r="K56" s="12" t="s">
        <v>252</v>
      </c>
      <c r="L56" s="12" t="s">
        <v>589</v>
      </c>
      <c r="M56" s="12" t="s">
        <v>254</v>
      </c>
      <c r="N56" s="13" t="n">
        <v>1</v>
      </c>
      <c r="O56" s="18" t="s">
        <v>274</v>
      </c>
      <c r="P56" s="13" t="s">
        <v>382</v>
      </c>
      <c r="Q56" s="13" t="s">
        <v>314</v>
      </c>
      <c r="R56" s="12" t="s">
        <v>590</v>
      </c>
      <c r="S56" s="12" t="s">
        <v>591</v>
      </c>
    </row>
    <row r="57" customFormat="false" ht="75" hidden="false" customHeight="true" outlineLevel="0" collapsed="false">
      <c r="A57" s="14" t="s">
        <v>592</v>
      </c>
      <c r="B57" s="15" t="s">
        <v>112</v>
      </c>
      <c r="C57" s="15" t="s">
        <v>113</v>
      </c>
      <c r="D57" s="16" t="s">
        <v>234</v>
      </c>
      <c r="E57" s="15" t="s">
        <v>593</v>
      </c>
      <c r="F57" s="15" t="s">
        <v>198</v>
      </c>
      <c r="G57" s="15" t="s">
        <v>114</v>
      </c>
      <c r="H57" s="15" t="s">
        <v>237</v>
      </c>
      <c r="I57" s="15" t="s">
        <v>292</v>
      </c>
      <c r="J57" s="15" t="s">
        <v>594</v>
      </c>
      <c r="K57" s="15" t="s">
        <v>252</v>
      </c>
      <c r="L57" s="15" t="s">
        <v>595</v>
      </c>
      <c r="M57" s="15" t="s">
        <v>254</v>
      </c>
      <c r="N57" s="16" t="n">
        <v>3</v>
      </c>
      <c r="O57" s="17" t="s">
        <v>243</v>
      </c>
      <c r="P57" s="16" t="s">
        <v>244</v>
      </c>
      <c r="Q57" s="16" t="s">
        <v>314</v>
      </c>
      <c r="R57" s="15" t="s">
        <v>263</v>
      </c>
      <c r="S57" s="15" t="s">
        <v>596</v>
      </c>
    </row>
    <row r="58" customFormat="false" ht="75" hidden="false" customHeight="true" outlineLevel="0" collapsed="false">
      <c r="A58" s="14" t="s">
        <v>597</v>
      </c>
      <c r="B58" s="15" t="s">
        <v>112</v>
      </c>
      <c r="C58" s="15" t="s">
        <v>113</v>
      </c>
      <c r="D58" s="16" t="s">
        <v>308</v>
      </c>
      <c r="E58" s="15" t="s">
        <v>598</v>
      </c>
      <c r="F58" s="15" t="s">
        <v>198</v>
      </c>
      <c r="G58" s="15" t="s">
        <v>114</v>
      </c>
      <c r="H58" s="15" t="s">
        <v>237</v>
      </c>
      <c r="I58" s="15" t="s">
        <v>599</v>
      </c>
      <c r="J58" s="15" t="s">
        <v>600</v>
      </c>
      <c r="K58" s="15" t="s">
        <v>252</v>
      </c>
      <c r="L58" s="15" t="s">
        <v>601</v>
      </c>
      <c r="M58" s="15" t="s">
        <v>254</v>
      </c>
      <c r="N58" s="16" t="n">
        <v>3</v>
      </c>
      <c r="O58" s="17" t="s">
        <v>243</v>
      </c>
      <c r="P58" s="16" t="s">
        <v>261</v>
      </c>
      <c r="Q58" s="16" t="s">
        <v>314</v>
      </c>
      <c r="R58" s="15" t="s">
        <v>592</v>
      </c>
      <c r="S58" s="15" t="s">
        <v>602</v>
      </c>
    </row>
    <row r="59" customFormat="false" ht="51.75" hidden="false" customHeight="true" outlineLevel="0" collapsed="false">
      <c r="A59" s="14" t="s">
        <v>603</v>
      </c>
      <c r="B59" s="15" t="s">
        <v>112</v>
      </c>
      <c r="C59" s="15" t="s">
        <v>113</v>
      </c>
      <c r="D59" s="16" t="s">
        <v>308</v>
      </c>
      <c r="E59" s="15" t="s">
        <v>604</v>
      </c>
      <c r="F59" s="15" t="s">
        <v>198</v>
      </c>
      <c r="G59" s="15" t="s">
        <v>114</v>
      </c>
      <c r="H59" s="15" t="s">
        <v>237</v>
      </c>
      <c r="I59" s="15" t="s">
        <v>605</v>
      </c>
      <c r="J59" s="15" t="s">
        <v>606</v>
      </c>
      <c r="K59" s="15" t="s">
        <v>252</v>
      </c>
      <c r="L59" s="15" t="s">
        <v>607</v>
      </c>
      <c r="M59" s="15" t="s">
        <v>254</v>
      </c>
      <c r="N59" s="16" t="n">
        <v>5</v>
      </c>
      <c r="O59" s="17" t="s">
        <v>243</v>
      </c>
      <c r="P59" s="16" t="s">
        <v>261</v>
      </c>
      <c r="Q59" s="16" t="s">
        <v>314</v>
      </c>
      <c r="R59" s="15" t="s">
        <v>289</v>
      </c>
      <c r="S59" s="15" t="s">
        <v>608</v>
      </c>
    </row>
    <row r="60" customFormat="false" ht="75" hidden="false" customHeight="true" outlineLevel="0" collapsed="false">
      <c r="A60" s="14" t="s">
        <v>609</v>
      </c>
      <c r="B60" s="15" t="s">
        <v>112</v>
      </c>
      <c r="C60" s="15" t="s">
        <v>113</v>
      </c>
      <c r="D60" s="16" t="s">
        <v>308</v>
      </c>
      <c r="E60" s="15" t="s">
        <v>610</v>
      </c>
      <c r="F60" s="15" t="s">
        <v>198</v>
      </c>
      <c r="G60" s="15" t="s">
        <v>114</v>
      </c>
      <c r="H60" s="15" t="s">
        <v>237</v>
      </c>
      <c r="I60" s="15" t="s">
        <v>611</v>
      </c>
      <c r="J60" s="15" t="s">
        <v>612</v>
      </c>
      <c r="K60" s="15" t="s">
        <v>252</v>
      </c>
      <c r="L60" s="15" t="s">
        <v>613</v>
      </c>
      <c r="M60" s="15" t="s">
        <v>254</v>
      </c>
      <c r="N60" s="16" t="n">
        <v>5</v>
      </c>
      <c r="O60" s="17" t="s">
        <v>243</v>
      </c>
      <c r="P60" s="16" t="s">
        <v>261</v>
      </c>
      <c r="Q60" s="16" t="s">
        <v>314</v>
      </c>
      <c r="R60" s="15" t="s">
        <v>614</v>
      </c>
      <c r="S60" s="15" t="s">
        <v>615</v>
      </c>
    </row>
    <row r="61" customFormat="false" ht="63" hidden="false" customHeight="true" outlineLevel="0" collapsed="false">
      <c r="A61" s="14" t="s">
        <v>616</v>
      </c>
      <c r="B61" s="15" t="s">
        <v>112</v>
      </c>
      <c r="C61" s="15" t="s">
        <v>113</v>
      </c>
      <c r="D61" s="16" t="s">
        <v>308</v>
      </c>
      <c r="E61" s="15" t="s">
        <v>617</v>
      </c>
      <c r="F61" s="15" t="s">
        <v>198</v>
      </c>
      <c r="G61" s="15" t="s">
        <v>114</v>
      </c>
      <c r="H61" s="15" t="s">
        <v>237</v>
      </c>
      <c r="I61" s="15" t="s">
        <v>618</v>
      </c>
      <c r="J61" s="15" t="s">
        <v>619</v>
      </c>
      <c r="K61" s="15" t="s">
        <v>252</v>
      </c>
      <c r="L61" s="15" t="s">
        <v>620</v>
      </c>
      <c r="M61" s="15" t="s">
        <v>254</v>
      </c>
      <c r="N61" s="16" t="n">
        <v>2</v>
      </c>
      <c r="O61" s="17" t="s">
        <v>243</v>
      </c>
      <c r="P61" s="16" t="s">
        <v>382</v>
      </c>
      <c r="Q61" s="16" t="s">
        <v>314</v>
      </c>
      <c r="R61" s="15" t="s">
        <v>609</v>
      </c>
      <c r="S61" s="15" t="s">
        <v>621</v>
      </c>
    </row>
    <row r="62" customFormat="false" ht="63" hidden="false" customHeight="true" outlineLevel="0" collapsed="false">
      <c r="A62" s="14" t="s">
        <v>622</v>
      </c>
      <c r="B62" s="15" t="s">
        <v>112</v>
      </c>
      <c r="C62" s="15" t="s">
        <v>113</v>
      </c>
      <c r="D62" s="16" t="s">
        <v>308</v>
      </c>
      <c r="E62" s="15" t="s">
        <v>623</v>
      </c>
      <c r="F62" s="15" t="s">
        <v>198</v>
      </c>
      <c r="G62" s="15" t="s">
        <v>114</v>
      </c>
      <c r="H62" s="15" t="s">
        <v>237</v>
      </c>
      <c r="I62" s="15" t="s">
        <v>624</v>
      </c>
      <c r="J62" s="15" t="s">
        <v>625</v>
      </c>
      <c r="K62" s="15" t="s">
        <v>252</v>
      </c>
      <c r="L62" s="15" t="s">
        <v>626</v>
      </c>
      <c r="M62" s="15" t="s">
        <v>254</v>
      </c>
      <c r="N62" s="16" t="n">
        <v>3</v>
      </c>
      <c r="O62" s="17" t="s">
        <v>243</v>
      </c>
      <c r="P62" s="16" t="s">
        <v>382</v>
      </c>
      <c r="Q62" s="16" t="s">
        <v>314</v>
      </c>
      <c r="R62" s="15" t="s">
        <v>609</v>
      </c>
      <c r="S62" s="15" t="s">
        <v>627</v>
      </c>
    </row>
    <row r="63" customFormat="false" ht="51.75" hidden="false" customHeight="true" outlineLevel="0" collapsed="false">
      <c r="A63" s="14" t="s">
        <v>628</v>
      </c>
      <c r="B63" s="15" t="s">
        <v>112</v>
      </c>
      <c r="C63" s="15" t="s">
        <v>113</v>
      </c>
      <c r="D63" s="16" t="s">
        <v>308</v>
      </c>
      <c r="E63" s="15" t="s">
        <v>629</v>
      </c>
      <c r="F63" s="15" t="s">
        <v>198</v>
      </c>
      <c r="G63" s="15" t="s">
        <v>114</v>
      </c>
      <c r="H63" s="15" t="s">
        <v>237</v>
      </c>
      <c r="I63" s="15" t="s">
        <v>630</v>
      </c>
      <c r="J63" s="15" t="s">
        <v>631</v>
      </c>
      <c r="K63" s="15" t="s">
        <v>252</v>
      </c>
      <c r="L63" s="15" t="s">
        <v>632</v>
      </c>
      <c r="M63" s="15" t="s">
        <v>254</v>
      </c>
      <c r="N63" s="16" t="n">
        <v>3</v>
      </c>
      <c r="O63" s="18" t="s">
        <v>274</v>
      </c>
      <c r="P63" s="16" t="s">
        <v>382</v>
      </c>
      <c r="Q63" s="16" t="s">
        <v>314</v>
      </c>
      <c r="R63" s="15" t="s">
        <v>603</v>
      </c>
      <c r="S63" s="15" t="s">
        <v>633</v>
      </c>
    </row>
    <row r="64" customFormat="false" ht="40.5" hidden="false" customHeight="true" outlineLevel="0" collapsed="false">
      <c r="A64" s="14" t="s">
        <v>634</v>
      </c>
      <c r="B64" s="15" t="s">
        <v>112</v>
      </c>
      <c r="C64" s="15" t="s">
        <v>113</v>
      </c>
      <c r="D64" s="16" t="s">
        <v>308</v>
      </c>
      <c r="E64" s="15" t="s">
        <v>635</v>
      </c>
      <c r="F64" s="15" t="s">
        <v>198</v>
      </c>
      <c r="G64" s="15" t="s">
        <v>114</v>
      </c>
      <c r="H64" s="15" t="s">
        <v>237</v>
      </c>
      <c r="I64" s="15" t="s">
        <v>636</v>
      </c>
      <c r="J64" s="15" t="s">
        <v>637</v>
      </c>
      <c r="K64" s="15" t="s">
        <v>252</v>
      </c>
      <c r="L64" s="15" t="s">
        <v>638</v>
      </c>
      <c r="M64" s="15" t="s">
        <v>254</v>
      </c>
      <c r="N64" s="16" t="n">
        <v>2</v>
      </c>
      <c r="O64" s="18" t="s">
        <v>274</v>
      </c>
      <c r="P64" s="16" t="s">
        <v>382</v>
      </c>
      <c r="Q64" s="16" t="s">
        <v>314</v>
      </c>
      <c r="R64" s="15" t="s">
        <v>639</v>
      </c>
      <c r="S64" s="15" t="s">
        <v>640</v>
      </c>
    </row>
    <row r="65" customFormat="false" ht="51.75" hidden="false" customHeight="true" outlineLevel="0" collapsed="false">
      <c r="A65" s="14" t="s">
        <v>641</v>
      </c>
      <c r="B65" s="15" t="s">
        <v>112</v>
      </c>
      <c r="C65" s="15" t="s">
        <v>113</v>
      </c>
      <c r="D65" s="16" t="s">
        <v>308</v>
      </c>
      <c r="E65" s="15" t="s">
        <v>642</v>
      </c>
      <c r="F65" s="15" t="s">
        <v>206</v>
      </c>
      <c r="G65" s="15" t="s">
        <v>114</v>
      </c>
      <c r="H65" s="15" t="s">
        <v>643</v>
      </c>
      <c r="I65" s="15" t="s">
        <v>644</v>
      </c>
      <c r="J65" s="15" t="s">
        <v>645</v>
      </c>
      <c r="K65" s="15" t="s">
        <v>646</v>
      </c>
      <c r="L65" s="15" t="s">
        <v>647</v>
      </c>
      <c r="M65" s="15" t="s">
        <v>254</v>
      </c>
      <c r="N65" s="16" t="n">
        <v>2</v>
      </c>
      <c r="O65" s="17" t="s">
        <v>243</v>
      </c>
      <c r="P65" s="16" t="s">
        <v>261</v>
      </c>
      <c r="Q65" s="16" t="s">
        <v>314</v>
      </c>
      <c r="R65" s="15" t="s">
        <v>592</v>
      </c>
      <c r="S65" s="15" t="s">
        <v>648</v>
      </c>
    </row>
    <row r="66" customFormat="false" ht="51.75" hidden="false" customHeight="true" outlineLevel="0" collapsed="false">
      <c r="A66" s="14" t="s">
        <v>649</v>
      </c>
      <c r="B66" s="15" t="s">
        <v>112</v>
      </c>
      <c r="C66" s="15" t="s">
        <v>113</v>
      </c>
      <c r="D66" s="16" t="s">
        <v>308</v>
      </c>
      <c r="E66" s="15" t="s">
        <v>650</v>
      </c>
      <c r="F66" s="15" t="s">
        <v>206</v>
      </c>
      <c r="G66" s="15" t="s">
        <v>114</v>
      </c>
      <c r="H66" s="15" t="s">
        <v>651</v>
      </c>
      <c r="I66" s="15" t="s">
        <v>652</v>
      </c>
      <c r="J66" s="15" t="s">
        <v>653</v>
      </c>
      <c r="K66" s="15" t="s">
        <v>654</v>
      </c>
      <c r="L66" s="15" t="s">
        <v>655</v>
      </c>
      <c r="M66" s="15" t="s">
        <v>254</v>
      </c>
      <c r="N66" s="16" t="n">
        <v>3</v>
      </c>
      <c r="O66" s="17" t="s">
        <v>243</v>
      </c>
      <c r="P66" s="16" t="s">
        <v>261</v>
      </c>
      <c r="Q66" s="16" t="s">
        <v>314</v>
      </c>
      <c r="R66" s="15" t="s">
        <v>641</v>
      </c>
      <c r="S66" s="15" t="s">
        <v>656</v>
      </c>
    </row>
    <row r="67" customFormat="false" ht="51.75" hidden="false" customHeight="true" outlineLevel="0" collapsed="false">
      <c r="A67" s="14" t="s">
        <v>657</v>
      </c>
      <c r="B67" s="15" t="s">
        <v>112</v>
      </c>
      <c r="C67" s="15" t="s">
        <v>113</v>
      </c>
      <c r="D67" s="16" t="s">
        <v>308</v>
      </c>
      <c r="E67" s="15" t="s">
        <v>658</v>
      </c>
      <c r="F67" s="15" t="s">
        <v>206</v>
      </c>
      <c r="G67" s="15" t="s">
        <v>114</v>
      </c>
      <c r="H67" s="15" t="s">
        <v>659</v>
      </c>
      <c r="I67" s="15" t="s">
        <v>660</v>
      </c>
      <c r="J67" s="15" t="s">
        <v>661</v>
      </c>
      <c r="K67" s="15" t="s">
        <v>252</v>
      </c>
      <c r="L67" s="15" t="s">
        <v>662</v>
      </c>
      <c r="M67" s="15" t="s">
        <v>254</v>
      </c>
      <c r="N67" s="16" t="n">
        <v>2</v>
      </c>
      <c r="O67" s="17" t="s">
        <v>243</v>
      </c>
      <c r="P67" s="16" t="s">
        <v>261</v>
      </c>
      <c r="Q67" s="16" t="s">
        <v>314</v>
      </c>
      <c r="R67" s="15" t="s">
        <v>649</v>
      </c>
      <c r="S67" s="15" t="s">
        <v>663</v>
      </c>
    </row>
    <row r="68" customFormat="false" ht="28.5" hidden="false" customHeight="true" outlineLevel="0" collapsed="false">
      <c r="A68" s="14" t="s">
        <v>664</v>
      </c>
      <c r="B68" s="15" t="s">
        <v>112</v>
      </c>
      <c r="C68" s="15" t="s">
        <v>113</v>
      </c>
      <c r="D68" s="16" t="s">
        <v>308</v>
      </c>
      <c r="E68" s="15" t="s">
        <v>665</v>
      </c>
      <c r="F68" s="15" t="s">
        <v>206</v>
      </c>
      <c r="G68" s="15" t="s">
        <v>114</v>
      </c>
      <c r="H68" s="15" t="s">
        <v>659</v>
      </c>
      <c r="I68" s="15" t="s">
        <v>666</v>
      </c>
      <c r="J68" s="15" t="s">
        <v>667</v>
      </c>
      <c r="K68" s="15" t="s">
        <v>252</v>
      </c>
      <c r="L68" s="15" t="s">
        <v>668</v>
      </c>
      <c r="M68" s="15" t="s">
        <v>254</v>
      </c>
      <c r="N68" s="16" t="n">
        <v>1</v>
      </c>
      <c r="O68" s="18" t="s">
        <v>274</v>
      </c>
      <c r="P68" s="16" t="s">
        <v>261</v>
      </c>
      <c r="Q68" s="16" t="s">
        <v>314</v>
      </c>
      <c r="R68" s="15" t="s">
        <v>657</v>
      </c>
      <c r="S68" s="15" t="s">
        <v>648</v>
      </c>
    </row>
    <row r="69" customFormat="false" ht="40.5" hidden="false" customHeight="true" outlineLevel="0" collapsed="false">
      <c r="A69" s="14" t="s">
        <v>669</v>
      </c>
      <c r="B69" s="15" t="s">
        <v>112</v>
      </c>
      <c r="C69" s="15" t="s">
        <v>113</v>
      </c>
      <c r="D69" s="16" t="s">
        <v>308</v>
      </c>
      <c r="E69" s="15" t="s">
        <v>670</v>
      </c>
      <c r="F69" s="15" t="s">
        <v>206</v>
      </c>
      <c r="G69" s="15" t="s">
        <v>114</v>
      </c>
      <c r="H69" s="15" t="s">
        <v>671</v>
      </c>
      <c r="I69" s="15" t="s">
        <v>672</v>
      </c>
      <c r="J69" s="15" t="s">
        <v>673</v>
      </c>
      <c r="K69" s="15" t="s">
        <v>252</v>
      </c>
      <c r="L69" s="15" t="s">
        <v>674</v>
      </c>
      <c r="M69" s="15" t="s">
        <v>254</v>
      </c>
      <c r="N69" s="16" t="n">
        <v>2</v>
      </c>
      <c r="O69" s="19" t="s">
        <v>367</v>
      </c>
      <c r="P69" s="16" t="s">
        <v>382</v>
      </c>
      <c r="Q69" s="16" t="s">
        <v>314</v>
      </c>
      <c r="R69" s="15" t="s">
        <v>657</v>
      </c>
      <c r="S69" s="15" t="s">
        <v>675</v>
      </c>
    </row>
    <row r="70" customFormat="false" ht="51.75" hidden="false" customHeight="true" outlineLevel="0" collapsed="false">
      <c r="A70" s="14" t="s">
        <v>676</v>
      </c>
      <c r="B70" s="15" t="s">
        <v>112</v>
      </c>
      <c r="C70" s="15" t="s">
        <v>113</v>
      </c>
      <c r="D70" s="16" t="s">
        <v>308</v>
      </c>
      <c r="E70" s="15" t="s">
        <v>677</v>
      </c>
      <c r="F70" s="15" t="s">
        <v>206</v>
      </c>
      <c r="G70" s="15" t="s">
        <v>114</v>
      </c>
      <c r="H70" s="15" t="s">
        <v>671</v>
      </c>
      <c r="I70" s="15" t="s">
        <v>678</v>
      </c>
      <c r="J70" s="15" t="s">
        <v>679</v>
      </c>
      <c r="K70" s="15" t="s">
        <v>252</v>
      </c>
      <c r="L70" s="15" t="s">
        <v>680</v>
      </c>
      <c r="M70" s="15" t="s">
        <v>254</v>
      </c>
      <c r="N70" s="16" t="n">
        <v>2</v>
      </c>
      <c r="O70" s="18" t="s">
        <v>274</v>
      </c>
      <c r="P70" s="16" t="s">
        <v>382</v>
      </c>
      <c r="Q70" s="16" t="s">
        <v>314</v>
      </c>
      <c r="R70" s="15" t="s">
        <v>609</v>
      </c>
      <c r="S70" s="15" t="s">
        <v>681</v>
      </c>
    </row>
    <row r="71" customFormat="false" ht="40.5" hidden="false" customHeight="true" outlineLevel="0" collapsed="false">
      <c r="A71" s="14" t="s">
        <v>682</v>
      </c>
      <c r="B71" s="15" t="s">
        <v>112</v>
      </c>
      <c r="C71" s="15" t="s">
        <v>113</v>
      </c>
      <c r="D71" s="16" t="s">
        <v>308</v>
      </c>
      <c r="E71" s="15" t="s">
        <v>683</v>
      </c>
      <c r="F71" s="15" t="s">
        <v>206</v>
      </c>
      <c r="G71" s="15" t="s">
        <v>114</v>
      </c>
      <c r="H71" s="15" t="s">
        <v>671</v>
      </c>
      <c r="I71" s="15" t="s">
        <v>684</v>
      </c>
      <c r="J71" s="15" t="s">
        <v>685</v>
      </c>
      <c r="K71" s="15" t="s">
        <v>252</v>
      </c>
      <c r="L71" s="15" t="s">
        <v>686</v>
      </c>
      <c r="M71" s="15" t="s">
        <v>254</v>
      </c>
      <c r="N71" s="16" t="n">
        <v>3</v>
      </c>
      <c r="O71" s="19" t="s">
        <v>367</v>
      </c>
      <c r="P71" s="16" t="s">
        <v>382</v>
      </c>
      <c r="Q71" s="16" t="s">
        <v>314</v>
      </c>
      <c r="R71" s="15" t="s">
        <v>603</v>
      </c>
      <c r="S71" s="15" t="s">
        <v>687</v>
      </c>
    </row>
    <row r="72" customFormat="false" ht="75" hidden="false" customHeight="true" outlineLevel="0" collapsed="false">
      <c r="A72" s="14" t="s">
        <v>688</v>
      </c>
      <c r="B72" s="15" t="s">
        <v>112</v>
      </c>
      <c r="C72" s="15" t="s">
        <v>113</v>
      </c>
      <c r="D72" s="16" t="s">
        <v>308</v>
      </c>
      <c r="E72" s="15" t="s">
        <v>689</v>
      </c>
      <c r="F72" s="15" t="s">
        <v>206</v>
      </c>
      <c r="G72" s="15" t="s">
        <v>114</v>
      </c>
      <c r="H72" s="15" t="s">
        <v>671</v>
      </c>
      <c r="I72" s="15" t="s">
        <v>690</v>
      </c>
      <c r="J72" s="15" t="s">
        <v>691</v>
      </c>
      <c r="K72" s="15" t="s">
        <v>252</v>
      </c>
      <c r="L72" s="15" t="s">
        <v>692</v>
      </c>
      <c r="M72" s="15" t="s">
        <v>254</v>
      </c>
      <c r="N72" s="16" t="n">
        <v>5</v>
      </c>
      <c r="O72" s="18" t="s">
        <v>274</v>
      </c>
      <c r="P72" s="16" t="s">
        <v>382</v>
      </c>
      <c r="Q72" s="16" t="s">
        <v>314</v>
      </c>
      <c r="R72" s="15" t="s">
        <v>657</v>
      </c>
      <c r="S72" s="15" t="s">
        <v>693</v>
      </c>
    </row>
    <row r="73" customFormat="false" ht="40.5" hidden="false" customHeight="true" outlineLevel="0" collapsed="false">
      <c r="A73" s="14" t="s">
        <v>694</v>
      </c>
      <c r="B73" s="15" t="s">
        <v>112</v>
      </c>
      <c r="C73" s="15" t="s">
        <v>113</v>
      </c>
      <c r="D73" s="16" t="s">
        <v>308</v>
      </c>
      <c r="E73" s="15" t="s">
        <v>695</v>
      </c>
      <c r="F73" s="15" t="s">
        <v>206</v>
      </c>
      <c r="G73" s="15" t="s">
        <v>114</v>
      </c>
      <c r="H73" s="15" t="s">
        <v>671</v>
      </c>
      <c r="I73" s="15" t="s">
        <v>696</v>
      </c>
      <c r="J73" s="15" t="s">
        <v>697</v>
      </c>
      <c r="K73" s="15" t="s">
        <v>252</v>
      </c>
      <c r="L73" s="15" t="s">
        <v>698</v>
      </c>
      <c r="M73" s="15" t="s">
        <v>254</v>
      </c>
      <c r="N73" s="16" t="n">
        <v>3</v>
      </c>
      <c r="O73" s="19" t="s">
        <v>367</v>
      </c>
      <c r="P73" s="16" t="s">
        <v>382</v>
      </c>
      <c r="Q73" s="16" t="s">
        <v>314</v>
      </c>
      <c r="R73" s="15" t="s">
        <v>603</v>
      </c>
      <c r="S73" s="15" t="s">
        <v>699</v>
      </c>
    </row>
    <row r="74" customFormat="false" ht="40.5" hidden="false" customHeight="true" outlineLevel="0" collapsed="false">
      <c r="A74" s="14" t="s">
        <v>700</v>
      </c>
      <c r="B74" s="15" t="s">
        <v>112</v>
      </c>
      <c r="C74" s="15" t="s">
        <v>113</v>
      </c>
      <c r="D74" s="16" t="s">
        <v>308</v>
      </c>
      <c r="E74" s="15" t="s">
        <v>701</v>
      </c>
      <c r="F74" s="15" t="s">
        <v>209</v>
      </c>
      <c r="G74" s="15" t="s">
        <v>114</v>
      </c>
      <c r="H74" s="15" t="s">
        <v>702</v>
      </c>
      <c r="I74" s="15" t="s">
        <v>703</v>
      </c>
      <c r="J74" s="15" t="s">
        <v>704</v>
      </c>
      <c r="K74" s="15" t="s">
        <v>252</v>
      </c>
      <c r="L74" s="15" t="s">
        <v>705</v>
      </c>
      <c r="M74" s="15" t="s">
        <v>254</v>
      </c>
      <c r="N74" s="16" t="n">
        <v>3</v>
      </c>
      <c r="O74" s="18" t="s">
        <v>274</v>
      </c>
      <c r="P74" s="16" t="s">
        <v>382</v>
      </c>
      <c r="Q74" s="16" t="s">
        <v>706</v>
      </c>
      <c r="R74" s="15" t="s">
        <v>603</v>
      </c>
      <c r="S74" s="15" t="s">
        <v>707</v>
      </c>
    </row>
    <row r="75" customFormat="false" ht="28.5" hidden="false" customHeight="true" outlineLevel="0" collapsed="false">
      <c r="A75" s="14" t="s">
        <v>708</v>
      </c>
      <c r="B75" s="15" t="s">
        <v>112</v>
      </c>
      <c r="C75" s="15" t="s">
        <v>113</v>
      </c>
      <c r="D75" s="16" t="s">
        <v>308</v>
      </c>
      <c r="E75" s="15" t="s">
        <v>709</v>
      </c>
      <c r="F75" s="15" t="s">
        <v>209</v>
      </c>
      <c r="G75" s="15" t="s">
        <v>114</v>
      </c>
      <c r="H75" s="15" t="s">
        <v>702</v>
      </c>
      <c r="I75" s="15" t="s">
        <v>710</v>
      </c>
      <c r="J75" s="15" t="s">
        <v>711</v>
      </c>
      <c r="K75" s="15" t="s">
        <v>252</v>
      </c>
      <c r="L75" s="15" t="s">
        <v>712</v>
      </c>
      <c r="M75" s="15" t="s">
        <v>254</v>
      </c>
      <c r="N75" s="16" t="n">
        <v>2</v>
      </c>
      <c r="O75" s="19" t="s">
        <v>367</v>
      </c>
      <c r="P75" s="16" t="s">
        <v>382</v>
      </c>
      <c r="Q75" s="16" t="s">
        <v>706</v>
      </c>
      <c r="R75" s="15" t="s">
        <v>700</v>
      </c>
      <c r="S75" s="15" t="s">
        <v>707</v>
      </c>
    </row>
    <row r="76" customFormat="false" ht="40.5" hidden="false" customHeight="true" outlineLevel="0" collapsed="false">
      <c r="A76" s="14" t="s">
        <v>713</v>
      </c>
      <c r="B76" s="15" t="s">
        <v>112</v>
      </c>
      <c r="C76" s="15" t="s">
        <v>113</v>
      </c>
      <c r="D76" s="16" t="s">
        <v>308</v>
      </c>
      <c r="E76" s="15" t="s">
        <v>714</v>
      </c>
      <c r="F76" s="15" t="s">
        <v>209</v>
      </c>
      <c r="G76" s="15" t="s">
        <v>114</v>
      </c>
      <c r="H76" s="15" t="s">
        <v>715</v>
      </c>
      <c r="I76" s="15" t="s">
        <v>716</v>
      </c>
      <c r="J76" s="15" t="s">
        <v>717</v>
      </c>
      <c r="K76" s="15" t="s">
        <v>252</v>
      </c>
      <c r="L76" s="15" t="s">
        <v>718</v>
      </c>
      <c r="M76" s="15" t="s">
        <v>254</v>
      </c>
      <c r="N76" s="16" t="n">
        <v>2</v>
      </c>
      <c r="O76" s="18" t="s">
        <v>274</v>
      </c>
      <c r="P76" s="16" t="s">
        <v>382</v>
      </c>
      <c r="Q76" s="16" t="s">
        <v>706</v>
      </c>
      <c r="R76" s="15" t="s">
        <v>603</v>
      </c>
      <c r="S76" s="15" t="s">
        <v>719</v>
      </c>
    </row>
    <row r="77" customFormat="false" ht="63" hidden="false" customHeight="true" outlineLevel="0" collapsed="false">
      <c r="A77" s="14" t="s">
        <v>720</v>
      </c>
      <c r="B77" s="15" t="s">
        <v>112</v>
      </c>
      <c r="C77" s="15" t="s">
        <v>113</v>
      </c>
      <c r="D77" s="16" t="s">
        <v>308</v>
      </c>
      <c r="E77" s="15" t="s">
        <v>721</v>
      </c>
      <c r="F77" s="15" t="s">
        <v>209</v>
      </c>
      <c r="G77" s="15" t="s">
        <v>114</v>
      </c>
      <c r="H77" s="15" t="s">
        <v>715</v>
      </c>
      <c r="I77" s="15" t="s">
        <v>722</v>
      </c>
      <c r="J77" s="15" t="s">
        <v>723</v>
      </c>
      <c r="K77" s="15" t="s">
        <v>252</v>
      </c>
      <c r="L77" s="15" t="s">
        <v>724</v>
      </c>
      <c r="M77" s="15" t="s">
        <v>254</v>
      </c>
      <c r="N77" s="16" t="n">
        <v>5</v>
      </c>
      <c r="O77" s="18" t="s">
        <v>274</v>
      </c>
      <c r="P77" s="16" t="s">
        <v>382</v>
      </c>
      <c r="Q77" s="16" t="s">
        <v>706</v>
      </c>
      <c r="R77" s="15" t="s">
        <v>725</v>
      </c>
      <c r="S77" s="15" t="s">
        <v>726</v>
      </c>
    </row>
    <row r="78" customFormat="false" ht="40.5" hidden="false" customHeight="true" outlineLevel="0" collapsed="false">
      <c r="A78" s="14" t="s">
        <v>727</v>
      </c>
      <c r="B78" s="15" t="s">
        <v>112</v>
      </c>
      <c r="C78" s="15" t="s">
        <v>113</v>
      </c>
      <c r="D78" s="16" t="s">
        <v>308</v>
      </c>
      <c r="E78" s="15" t="s">
        <v>728</v>
      </c>
      <c r="F78" s="15" t="s">
        <v>209</v>
      </c>
      <c r="G78" s="15" t="s">
        <v>114</v>
      </c>
      <c r="H78" s="15" t="s">
        <v>715</v>
      </c>
      <c r="I78" s="15" t="s">
        <v>729</v>
      </c>
      <c r="J78" s="15" t="s">
        <v>730</v>
      </c>
      <c r="K78" s="15" t="s">
        <v>252</v>
      </c>
      <c r="L78" s="15" t="s">
        <v>731</v>
      </c>
      <c r="M78" s="15" t="s">
        <v>254</v>
      </c>
      <c r="N78" s="16" t="n">
        <v>2</v>
      </c>
      <c r="O78" s="18" t="s">
        <v>274</v>
      </c>
      <c r="P78" s="16" t="s">
        <v>382</v>
      </c>
      <c r="Q78" s="16" t="s">
        <v>706</v>
      </c>
      <c r="R78" s="15" t="s">
        <v>732</v>
      </c>
      <c r="S78" s="15" t="s">
        <v>733</v>
      </c>
    </row>
    <row r="79" customFormat="false" ht="40.5" hidden="false" customHeight="true" outlineLevel="0" collapsed="false">
      <c r="A79" s="14" t="s">
        <v>734</v>
      </c>
      <c r="B79" s="15" t="s">
        <v>112</v>
      </c>
      <c r="C79" s="15" t="s">
        <v>113</v>
      </c>
      <c r="D79" s="16" t="s">
        <v>308</v>
      </c>
      <c r="E79" s="15" t="s">
        <v>735</v>
      </c>
      <c r="F79" s="15" t="s">
        <v>209</v>
      </c>
      <c r="G79" s="15" t="s">
        <v>114</v>
      </c>
      <c r="H79" s="15" t="s">
        <v>715</v>
      </c>
      <c r="I79" s="15" t="s">
        <v>736</v>
      </c>
      <c r="J79" s="15" t="s">
        <v>737</v>
      </c>
      <c r="K79" s="15" t="s">
        <v>252</v>
      </c>
      <c r="L79" s="15" t="s">
        <v>738</v>
      </c>
      <c r="M79" s="15" t="s">
        <v>254</v>
      </c>
      <c r="N79" s="16" t="n">
        <v>2</v>
      </c>
      <c r="O79" s="19" t="s">
        <v>367</v>
      </c>
      <c r="P79" s="16" t="s">
        <v>382</v>
      </c>
      <c r="Q79" s="16" t="s">
        <v>706</v>
      </c>
      <c r="R79" s="15" t="s">
        <v>720</v>
      </c>
      <c r="S79" s="15" t="s">
        <v>719</v>
      </c>
    </row>
    <row r="80" customFormat="false" ht="51.75" hidden="false" customHeight="true" outlineLevel="0" collapsed="false">
      <c r="A80" s="14" t="s">
        <v>739</v>
      </c>
      <c r="B80" s="15" t="s">
        <v>112</v>
      </c>
      <c r="C80" s="15" t="s">
        <v>113</v>
      </c>
      <c r="D80" s="16" t="s">
        <v>308</v>
      </c>
      <c r="E80" s="15" t="s">
        <v>740</v>
      </c>
      <c r="F80" s="15" t="s">
        <v>209</v>
      </c>
      <c r="G80" s="15" t="s">
        <v>114</v>
      </c>
      <c r="H80" s="15" t="s">
        <v>741</v>
      </c>
      <c r="I80" s="15" t="s">
        <v>742</v>
      </c>
      <c r="J80" s="15" t="s">
        <v>743</v>
      </c>
      <c r="K80" s="15" t="s">
        <v>252</v>
      </c>
      <c r="L80" s="15" t="s">
        <v>744</v>
      </c>
      <c r="M80" s="15" t="s">
        <v>254</v>
      </c>
      <c r="N80" s="16" t="n">
        <v>3</v>
      </c>
      <c r="O80" s="18" t="s">
        <v>274</v>
      </c>
      <c r="P80" s="16" t="s">
        <v>382</v>
      </c>
      <c r="Q80" s="16" t="s">
        <v>706</v>
      </c>
      <c r="R80" s="15" t="s">
        <v>713</v>
      </c>
      <c r="S80" s="15" t="s">
        <v>745</v>
      </c>
    </row>
    <row r="81" customFormat="false" ht="40.5" hidden="false" customHeight="true" outlineLevel="0" collapsed="false">
      <c r="A81" s="14" t="s">
        <v>746</v>
      </c>
      <c r="B81" s="15" t="s">
        <v>112</v>
      </c>
      <c r="C81" s="15" t="s">
        <v>113</v>
      </c>
      <c r="D81" s="16" t="s">
        <v>308</v>
      </c>
      <c r="E81" s="15" t="s">
        <v>747</v>
      </c>
      <c r="F81" s="15" t="s">
        <v>209</v>
      </c>
      <c r="G81" s="15" t="s">
        <v>114</v>
      </c>
      <c r="H81" s="15" t="s">
        <v>741</v>
      </c>
      <c r="I81" s="15" t="s">
        <v>748</v>
      </c>
      <c r="J81" s="15" t="s">
        <v>749</v>
      </c>
      <c r="K81" s="15" t="s">
        <v>252</v>
      </c>
      <c r="L81" s="15" t="s">
        <v>750</v>
      </c>
      <c r="M81" s="15" t="s">
        <v>254</v>
      </c>
      <c r="N81" s="16" t="n">
        <v>1</v>
      </c>
      <c r="O81" s="19" t="s">
        <v>367</v>
      </c>
      <c r="P81" s="16" t="s">
        <v>382</v>
      </c>
      <c r="Q81" s="16" t="s">
        <v>706</v>
      </c>
      <c r="R81" s="15" t="s">
        <v>739</v>
      </c>
      <c r="S81" s="15" t="s">
        <v>745</v>
      </c>
    </row>
    <row r="82" customFormat="false" ht="51.75" hidden="false" customHeight="true" outlineLevel="0" collapsed="false">
      <c r="A82" s="14" t="s">
        <v>751</v>
      </c>
      <c r="B82" s="15" t="s">
        <v>112</v>
      </c>
      <c r="C82" s="15" t="s">
        <v>113</v>
      </c>
      <c r="D82" s="16" t="s">
        <v>308</v>
      </c>
      <c r="E82" s="15" t="s">
        <v>752</v>
      </c>
      <c r="F82" s="15" t="s">
        <v>209</v>
      </c>
      <c r="G82" s="15" t="s">
        <v>114</v>
      </c>
      <c r="H82" s="15" t="s">
        <v>753</v>
      </c>
      <c r="I82" s="15" t="s">
        <v>754</v>
      </c>
      <c r="J82" s="15" t="s">
        <v>755</v>
      </c>
      <c r="K82" s="15" t="s">
        <v>252</v>
      </c>
      <c r="L82" s="15" t="s">
        <v>756</v>
      </c>
      <c r="M82" s="15" t="s">
        <v>254</v>
      </c>
      <c r="N82" s="16" t="n">
        <v>3</v>
      </c>
      <c r="O82" s="19" t="s">
        <v>367</v>
      </c>
      <c r="P82" s="16" t="s">
        <v>352</v>
      </c>
      <c r="Q82" s="16" t="s">
        <v>706</v>
      </c>
      <c r="R82" s="15" t="s">
        <v>700</v>
      </c>
      <c r="S82" s="15" t="s">
        <v>757</v>
      </c>
    </row>
    <row r="83" customFormat="false" ht="40.5" hidden="false" customHeight="true" outlineLevel="0" collapsed="false">
      <c r="A83" s="14" t="s">
        <v>758</v>
      </c>
      <c r="B83" s="15" t="s">
        <v>112</v>
      </c>
      <c r="C83" s="15" t="s">
        <v>113</v>
      </c>
      <c r="D83" s="16" t="s">
        <v>308</v>
      </c>
      <c r="E83" s="15" t="s">
        <v>759</v>
      </c>
      <c r="F83" s="15" t="s">
        <v>209</v>
      </c>
      <c r="G83" s="15" t="s">
        <v>114</v>
      </c>
      <c r="H83" s="15" t="s">
        <v>760</v>
      </c>
      <c r="I83" s="15" t="s">
        <v>761</v>
      </c>
      <c r="J83" s="15" t="s">
        <v>762</v>
      </c>
      <c r="K83" s="15" t="s">
        <v>252</v>
      </c>
      <c r="L83" s="15" t="s">
        <v>763</v>
      </c>
      <c r="M83" s="15" t="s">
        <v>254</v>
      </c>
      <c r="N83" s="16" t="n">
        <v>3</v>
      </c>
      <c r="O83" s="19" t="s">
        <v>367</v>
      </c>
      <c r="P83" s="16" t="s">
        <v>352</v>
      </c>
      <c r="Q83" s="16" t="s">
        <v>706</v>
      </c>
      <c r="R83" s="15" t="s">
        <v>764</v>
      </c>
      <c r="S83" s="15" t="s">
        <v>765</v>
      </c>
    </row>
    <row r="84" customFormat="false" ht="28.5" hidden="false" customHeight="true" outlineLevel="0" collapsed="false">
      <c r="A84" s="14" t="s">
        <v>766</v>
      </c>
      <c r="B84" s="15" t="s">
        <v>112</v>
      </c>
      <c r="C84" s="15" t="s">
        <v>113</v>
      </c>
      <c r="D84" s="16" t="s">
        <v>308</v>
      </c>
      <c r="E84" s="15" t="s">
        <v>767</v>
      </c>
      <c r="F84" s="15" t="s">
        <v>209</v>
      </c>
      <c r="G84" s="15" t="s">
        <v>114</v>
      </c>
      <c r="H84" s="15" t="s">
        <v>768</v>
      </c>
      <c r="I84" s="15" t="s">
        <v>769</v>
      </c>
      <c r="J84" s="15" t="s">
        <v>770</v>
      </c>
      <c r="K84" s="15" t="s">
        <v>252</v>
      </c>
      <c r="L84" s="15" t="s">
        <v>771</v>
      </c>
      <c r="M84" s="15" t="s">
        <v>254</v>
      </c>
      <c r="N84" s="16" t="n">
        <v>1</v>
      </c>
      <c r="O84" s="20" t="s">
        <v>772</v>
      </c>
      <c r="P84" s="16" t="s">
        <v>352</v>
      </c>
      <c r="Q84" s="16" t="s">
        <v>706</v>
      </c>
      <c r="R84" s="15" t="s">
        <v>603</v>
      </c>
      <c r="S84" s="15" t="s">
        <v>773</v>
      </c>
    </row>
    <row r="85" customFormat="false" ht="51.75" hidden="false" customHeight="true" outlineLevel="0" collapsed="false">
      <c r="A85" s="14" t="s">
        <v>774</v>
      </c>
      <c r="B85" s="15" t="s">
        <v>112</v>
      </c>
      <c r="C85" s="15" t="s">
        <v>113</v>
      </c>
      <c r="D85" s="16" t="s">
        <v>308</v>
      </c>
      <c r="E85" s="15" t="s">
        <v>775</v>
      </c>
      <c r="F85" s="15" t="s">
        <v>209</v>
      </c>
      <c r="G85" s="15" t="s">
        <v>114</v>
      </c>
      <c r="H85" s="15" t="s">
        <v>776</v>
      </c>
      <c r="I85" s="15" t="s">
        <v>777</v>
      </c>
      <c r="J85" s="15" t="s">
        <v>778</v>
      </c>
      <c r="K85" s="15" t="s">
        <v>252</v>
      </c>
      <c r="L85" s="15" t="s">
        <v>779</v>
      </c>
      <c r="M85" s="15" t="s">
        <v>254</v>
      </c>
      <c r="N85" s="16" t="n">
        <v>3</v>
      </c>
      <c r="O85" s="18" t="s">
        <v>274</v>
      </c>
      <c r="P85" s="16" t="s">
        <v>352</v>
      </c>
      <c r="Q85" s="16" t="s">
        <v>706</v>
      </c>
      <c r="R85" s="15" t="s">
        <v>622</v>
      </c>
      <c r="S85" s="15" t="s">
        <v>733</v>
      </c>
    </row>
    <row r="86" customFormat="false" ht="51.75" hidden="false" customHeight="true" outlineLevel="0" collapsed="false">
      <c r="A86" s="14" t="s">
        <v>780</v>
      </c>
      <c r="B86" s="15" t="s">
        <v>112</v>
      </c>
      <c r="C86" s="15" t="s">
        <v>113</v>
      </c>
      <c r="D86" s="16" t="s">
        <v>308</v>
      </c>
      <c r="E86" s="15" t="s">
        <v>781</v>
      </c>
      <c r="F86" s="15" t="s">
        <v>209</v>
      </c>
      <c r="G86" s="15" t="s">
        <v>114</v>
      </c>
      <c r="H86" s="15" t="s">
        <v>782</v>
      </c>
      <c r="I86" s="15" t="s">
        <v>783</v>
      </c>
      <c r="J86" s="15" t="s">
        <v>784</v>
      </c>
      <c r="K86" s="15" t="s">
        <v>252</v>
      </c>
      <c r="L86" s="15" t="s">
        <v>785</v>
      </c>
      <c r="M86" s="15" t="s">
        <v>254</v>
      </c>
      <c r="N86" s="16" t="n">
        <v>5</v>
      </c>
      <c r="O86" s="18" t="s">
        <v>274</v>
      </c>
      <c r="P86" s="16" t="s">
        <v>352</v>
      </c>
      <c r="Q86" s="16" t="s">
        <v>706</v>
      </c>
      <c r="R86" s="15" t="s">
        <v>603</v>
      </c>
      <c r="S86" s="15" t="s">
        <v>786</v>
      </c>
    </row>
    <row r="87" customFormat="false" ht="51.75" hidden="false" customHeight="true" outlineLevel="0" collapsed="false">
      <c r="A87" s="14" t="s">
        <v>787</v>
      </c>
      <c r="B87" s="15" t="s">
        <v>112</v>
      </c>
      <c r="C87" s="15" t="s">
        <v>113</v>
      </c>
      <c r="D87" s="16" t="s">
        <v>308</v>
      </c>
      <c r="E87" s="15" t="s">
        <v>788</v>
      </c>
      <c r="F87" s="15" t="s">
        <v>209</v>
      </c>
      <c r="G87" s="15" t="s">
        <v>114</v>
      </c>
      <c r="H87" s="15" t="s">
        <v>782</v>
      </c>
      <c r="I87" s="15" t="s">
        <v>789</v>
      </c>
      <c r="J87" s="15" t="s">
        <v>790</v>
      </c>
      <c r="K87" s="15" t="s">
        <v>252</v>
      </c>
      <c r="L87" s="15" t="s">
        <v>791</v>
      </c>
      <c r="M87" s="15" t="s">
        <v>254</v>
      </c>
      <c r="N87" s="16" t="n">
        <v>2</v>
      </c>
      <c r="O87" s="19" t="s">
        <v>367</v>
      </c>
      <c r="P87" s="16" t="s">
        <v>352</v>
      </c>
      <c r="Q87" s="16" t="s">
        <v>706</v>
      </c>
      <c r="R87" s="15" t="s">
        <v>792</v>
      </c>
      <c r="S87" s="15" t="s">
        <v>793</v>
      </c>
    </row>
    <row r="88" customFormat="false" ht="63" hidden="false" customHeight="true" outlineLevel="0" collapsed="false">
      <c r="A88" s="14" t="s">
        <v>794</v>
      </c>
      <c r="B88" s="15" t="s">
        <v>112</v>
      </c>
      <c r="C88" s="15" t="s">
        <v>113</v>
      </c>
      <c r="D88" s="16" t="s">
        <v>308</v>
      </c>
      <c r="E88" s="15" t="s">
        <v>795</v>
      </c>
      <c r="F88" s="15" t="s">
        <v>209</v>
      </c>
      <c r="G88" s="15" t="s">
        <v>114</v>
      </c>
      <c r="H88" s="15" t="s">
        <v>796</v>
      </c>
      <c r="I88" s="15" t="s">
        <v>797</v>
      </c>
      <c r="J88" s="15" t="s">
        <v>798</v>
      </c>
      <c r="K88" s="15" t="s">
        <v>252</v>
      </c>
      <c r="L88" s="15" t="s">
        <v>799</v>
      </c>
      <c r="M88" s="15" t="s">
        <v>254</v>
      </c>
      <c r="N88" s="16" t="n">
        <v>5</v>
      </c>
      <c r="O88" s="19" t="s">
        <v>367</v>
      </c>
      <c r="P88" s="16" t="s">
        <v>352</v>
      </c>
      <c r="Q88" s="16" t="s">
        <v>706</v>
      </c>
      <c r="R88" s="15" t="s">
        <v>800</v>
      </c>
      <c r="S88" s="15" t="s">
        <v>801</v>
      </c>
    </row>
    <row r="89" customFormat="false" ht="86.25" hidden="false" customHeight="true" outlineLevel="0" collapsed="false">
      <c r="A89" s="14" t="s">
        <v>802</v>
      </c>
      <c r="B89" s="15" t="s">
        <v>112</v>
      </c>
      <c r="C89" s="15" t="s">
        <v>113</v>
      </c>
      <c r="D89" s="16" t="s">
        <v>234</v>
      </c>
      <c r="E89" s="15" t="s">
        <v>803</v>
      </c>
      <c r="F89" s="15" t="s">
        <v>212</v>
      </c>
      <c r="G89" s="15" t="s">
        <v>114</v>
      </c>
      <c r="H89" s="15" t="s">
        <v>237</v>
      </c>
      <c r="I89" s="15" t="s">
        <v>804</v>
      </c>
      <c r="J89" s="15" t="s">
        <v>805</v>
      </c>
      <c r="K89" s="15" t="s">
        <v>252</v>
      </c>
      <c r="L89" s="15" t="s">
        <v>806</v>
      </c>
      <c r="M89" s="15" t="s">
        <v>807</v>
      </c>
      <c r="N89" s="16" t="n">
        <v>8</v>
      </c>
      <c r="O89" s="17" t="s">
        <v>243</v>
      </c>
      <c r="P89" s="16" t="s">
        <v>352</v>
      </c>
      <c r="Q89" s="16" t="s">
        <v>353</v>
      </c>
      <c r="R89" s="15" t="s">
        <v>808</v>
      </c>
      <c r="S89" s="15" t="s">
        <v>809</v>
      </c>
    </row>
    <row r="90" customFormat="false" ht="28.5" hidden="false" customHeight="true" outlineLevel="0" collapsed="false">
      <c r="A90" s="14" t="s">
        <v>810</v>
      </c>
      <c r="B90" s="15" t="s">
        <v>112</v>
      </c>
      <c r="C90" s="15" t="s">
        <v>113</v>
      </c>
      <c r="D90" s="16" t="s">
        <v>308</v>
      </c>
      <c r="E90" s="15" t="s">
        <v>811</v>
      </c>
      <c r="F90" s="15" t="s">
        <v>212</v>
      </c>
      <c r="G90" s="15" t="s">
        <v>114</v>
      </c>
      <c r="H90" s="15" t="s">
        <v>812</v>
      </c>
      <c r="I90" s="15" t="s">
        <v>813</v>
      </c>
      <c r="J90" s="15" t="s">
        <v>814</v>
      </c>
      <c r="K90" s="15" t="s">
        <v>252</v>
      </c>
      <c r="L90" s="15" t="s">
        <v>815</v>
      </c>
      <c r="M90" s="15" t="s">
        <v>254</v>
      </c>
      <c r="N90" s="16" t="n">
        <v>2</v>
      </c>
      <c r="O90" s="18" t="s">
        <v>274</v>
      </c>
      <c r="P90" s="16" t="s">
        <v>352</v>
      </c>
      <c r="Q90" s="16" t="s">
        <v>353</v>
      </c>
      <c r="R90" s="15" t="s">
        <v>802</v>
      </c>
      <c r="S90" s="15" t="s">
        <v>816</v>
      </c>
    </row>
    <row r="91" customFormat="false" ht="40.5" hidden="false" customHeight="true" outlineLevel="0" collapsed="false">
      <c r="A91" s="14" t="s">
        <v>817</v>
      </c>
      <c r="B91" s="15" t="s">
        <v>112</v>
      </c>
      <c r="C91" s="15" t="s">
        <v>113</v>
      </c>
      <c r="D91" s="16" t="s">
        <v>308</v>
      </c>
      <c r="E91" s="15" t="s">
        <v>818</v>
      </c>
      <c r="F91" s="15" t="s">
        <v>212</v>
      </c>
      <c r="G91" s="15" t="s">
        <v>114</v>
      </c>
      <c r="H91" s="15" t="s">
        <v>812</v>
      </c>
      <c r="I91" s="15" t="s">
        <v>819</v>
      </c>
      <c r="J91" s="15" t="s">
        <v>820</v>
      </c>
      <c r="K91" s="15" t="s">
        <v>252</v>
      </c>
      <c r="L91" s="15" t="s">
        <v>821</v>
      </c>
      <c r="M91" s="15" t="s">
        <v>254</v>
      </c>
      <c r="N91" s="16" t="n">
        <v>3</v>
      </c>
      <c r="O91" s="18" t="s">
        <v>274</v>
      </c>
      <c r="P91" s="16" t="s">
        <v>352</v>
      </c>
      <c r="Q91" s="16" t="s">
        <v>353</v>
      </c>
      <c r="R91" s="15" t="s">
        <v>802</v>
      </c>
      <c r="S91" s="15" t="s">
        <v>822</v>
      </c>
    </row>
    <row r="92" customFormat="false" ht="28.5" hidden="false" customHeight="true" outlineLevel="0" collapsed="false">
      <c r="A92" s="14" t="s">
        <v>823</v>
      </c>
      <c r="B92" s="15" t="s">
        <v>112</v>
      </c>
      <c r="C92" s="15" t="s">
        <v>113</v>
      </c>
      <c r="D92" s="16" t="s">
        <v>308</v>
      </c>
      <c r="E92" s="15" t="s">
        <v>824</v>
      </c>
      <c r="F92" s="15" t="s">
        <v>212</v>
      </c>
      <c r="G92" s="15" t="s">
        <v>114</v>
      </c>
      <c r="H92" s="15" t="s">
        <v>812</v>
      </c>
      <c r="I92" s="15" t="s">
        <v>825</v>
      </c>
      <c r="J92" s="15" t="s">
        <v>826</v>
      </c>
      <c r="K92" s="15" t="s">
        <v>252</v>
      </c>
      <c r="L92" s="15" t="s">
        <v>827</v>
      </c>
      <c r="M92" s="15" t="s">
        <v>254</v>
      </c>
      <c r="N92" s="16" t="n">
        <v>1</v>
      </c>
      <c r="O92" s="19" t="s">
        <v>367</v>
      </c>
      <c r="P92" s="16" t="s">
        <v>352</v>
      </c>
      <c r="Q92" s="16" t="s">
        <v>353</v>
      </c>
      <c r="R92" s="15" t="s">
        <v>802</v>
      </c>
      <c r="S92" s="15" t="s">
        <v>816</v>
      </c>
    </row>
    <row r="93" customFormat="false" ht="28.5" hidden="false" customHeight="true" outlineLevel="0" collapsed="false">
      <c r="A93" s="14" t="s">
        <v>828</v>
      </c>
      <c r="B93" s="15" t="s">
        <v>112</v>
      </c>
      <c r="C93" s="15" t="s">
        <v>113</v>
      </c>
      <c r="D93" s="16" t="s">
        <v>308</v>
      </c>
      <c r="E93" s="15" t="s">
        <v>829</v>
      </c>
      <c r="F93" s="15" t="s">
        <v>212</v>
      </c>
      <c r="G93" s="15" t="s">
        <v>114</v>
      </c>
      <c r="H93" s="15" t="s">
        <v>812</v>
      </c>
      <c r="I93" s="15" t="s">
        <v>830</v>
      </c>
      <c r="J93" s="15" t="s">
        <v>831</v>
      </c>
      <c r="K93" s="15" t="s">
        <v>252</v>
      </c>
      <c r="L93" s="15" t="s">
        <v>832</v>
      </c>
      <c r="M93" s="15" t="s">
        <v>254</v>
      </c>
      <c r="N93" s="16" t="n">
        <v>2</v>
      </c>
      <c r="O93" s="19" t="s">
        <v>367</v>
      </c>
      <c r="P93" s="16" t="s">
        <v>352</v>
      </c>
      <c r="Q93" s="16" t="s">
        <v>353</v>
      </c>
      <c r="R93" s="15" t="s">
        <v>802</v>
      </c>
      <c r="S93" s="15" t="s">
        <v>816</v>
      </c>
    </row>
    <row r="94" customFormat="false" ht="28.5" hidden="false" customHeight="true" outlineLevel="0" collapsed="false">
      <c r="A94" s="14" t="s">
        <v>833</v>
      </c>
      <c r="B94" s="15" t="s">
        <v>112</v>
      </c>
      <c r="C94" s="15" t="s">
        <v>113</v>
      </c>
      <c r="D94" s="16" t="s">
        <v>308</v>
      </c>
      <c r="E94" s="15" t="s">
        <v>834</v>
      </c>
      <c r="F94" s="15" t="s">
        <v>212</v>
      </c>
      <c r="G94" s="15" t="s">
        <v>114</v>
      </c>
      <c r="H94" s="15" t="s">
        <v>812</v>
      </c>
      <c r="I94" s="15" t="s">
        <v>835</v>
      </c>
      <c r="J94" s="15" t="s">
        <v>836</v>
      </c>
      <c r="K94" s="15" t="s">
        <v>252</v>
      </c>
      <c r="L94" s="15" t="s">
        <v>837</v>
      </c>
      <c r="M94" s="15" t="s">
        <v>254</v>
      </c>
      <c r="N94" s="16" t="n">
        <v>2</v>
      </c>
      <c r="O94" s="19" t="s">
        <v>367</v>
      </c>
      <c r="P94" s="16" t="s">
        <v>352</v>
      </c>
      <c r="Q94" s="16" t="s">
        <v>353</v>
      </c>
      <c r="R94" s="15" t="s">
        <v>802</v>
      </c>
      <c r="S94" s="15" t="s">
        <v>816</v>
      </c>
    </row>
    <row r="95" customFormat="false" ht="28.5" hidden="false" customHeight="true" outlineLevel="0" collapsed="false">
      <c r="A95" s="14" t="s">
        <v>838</v>
      </c>
      <c r="B95" s="15" t="s">
        <v>112</v>
      </c>
      <c r="C95" s="15" t="s">
        <v>113</v>
      </c>
      <c r="D95" s="16" t="s">
        <v>308</v>
      </c>
      <c r="E95" s="15" t="s">
        <v>839</v>
      </c>
      <c r="F95" s="15" t="s">
        <v>212</v>
      </c>
      <c r="G95" s="15" t="s">
        <v>114</v>
      </c>
      <c r="H95" s="15" t="s">
        <v>812</v>
      </c>
      <c r="I95" s="15" t="s">
        <v>840</v>
      </c>
      <c r="J95" s="15" t="s">
        <v>826</v>
      </c>
      <c r="K95" s="15" t="s">
        <v>252</v>
      </c>
      <c r="L95" s="15" t="s">
        <v>827</v>
      </c>
      <c r="M95" s="15" t="s">
        <v>254</v>
      </c>
      <c r="N95" s="16" t="n">
        <v>1</v>
      </c>
      <c r="O95" s="20" t="s">
        <v>772</v>
      </c>
      <c r="P95" s="16" t="s">
        <v>352</v>
      </c>
      <c r="Q95" s="16" t="s">
        <v>353</v>
      </c>
      <c r="R95" s="15" t="s">
        <v>802</v>
      </c>
      <c r="S95" s="15" t="s">
        <v>816</v>
      </c>
    </row>
    <row r="96" customFormat="false" ht="51.75" hidden="false" customHeight="true" outlineLevel="0" collapsed="false">
      <c r="A96" s="14" t="s">
        <v>841</v>
      </c>
      <c r="B96" s="15" t="s">
        <v>112</v>
      </c>
      <c r="C96" s="15" t="s">
        <v>113</v>
      </c>
      <c r="D96" s="16" t="s">
        <v>308</v>
      </c>
      <c r="E96" s="15" t="s">
        <v>842</v>
      </c>
      <c r="F96" s="15" t="s">
        <v>212</v>
      </c>
      <c r="G96" s="15" t="s">
        <v>114</v>
      </c>
      <c r="H96" s="15" t="s">
        <v>812</v>
      </c>
      <c r="I96" s="15" t="s">
        <v>843</v>
      </c>
      <c r="J96" s="15" t="s">
        <v>844</v>
      </c>
      <c r="K96" s="15" t="s">
        <v>252</v>
      </c>
      <c r="L96" s="15" t="s">
        <v>845</v>
      </c>
      <c r="M96" s="15" t="s">
        <v>254</v>
      </c>
      <c r="N96" s="16" t="n">
        <v>3</v>
      </c>
      <c r="O96" s="18" t="s">
        <v>274</v>
      </c>
      <c r="P96" s="16" t="s">
        <v>352</v>
      </c>
      <c r="Q96" s="16" t="s">
        <v>353</v>
      </c>
      <c r="R96" s="15" t="s">
        <v>846</v>
      </c>
      <c r="S96" s="15" t="s">
        <v>847</v>
      </c>
    </row>
    <row r="97" customFormat="false" ht="40.5" hidden="false" customHeight="true" outlineLevel="0" collapsed="false">
      <c r="A97" s="14" t="s">
        <v>848</v>
      </c>
      <c r="B97" s="15" t="s">
        <v>112</v>
      </c>
      <c r="C97" s="15" t="s">
        <v>113</v>
      </c>
      <c r="D97" s="16" t="s">
        <v>308</v>
      </c>
      <c r="E97" s="15" t="s">
        <v>849</v>
      </c>
      <c r="F97" s="15" t="s">
        <v>212</v>
      </c>
      <c r="G97" s="15" t="s">
        <v>114</v>
      </c>
      <c r="H97" s="15" t="s">
        <v>812</v>
      </c>
      <c r="I97" s="15" t="s">
        <v>850</v>
      </c>
      <c r="J97" s="15" t="s">
        <v>851</v>
      </c>
      <c r="K97" s="15" t="s">
        <v>252</v>
      </c>
      <c r="L97" s="15" t="s">
        <v>852</v>
      </c>
      <c r="M97" s="15" t="s">
        <v>254</v>
      </c>
      <c r="N97" s="16" t="n">
        <v>3</v>
      </c>
      <c r="O97" s="18" t="s">
        <v>274</v>
      </c>
      <c r="P97" s="16" t="s">
        <v>352</v>
      </c>
      <c r="Q97" s="16" t="s">
        <v>353</v>
      </c>
      <c r="R97" s="15" t="s">
        <v>841</v>
      </c>
      <c r="S97" s="15" t="s">
        <v>853</v>
      </c>
    </row>
    <row r="98" customFormat="false" ht="51.75" hidden="false" customHeight="true" outlineLevel="0" collapsed="false">
      <c r="A98" s="14" t="s">
        <v>854</v>
      </c>
      <c r="B98" s="15" t="s">
        <v>112</v>
      </c>
      <c r="C98" s="15" t="s">
        <v>113</v>
      </c>
      <c r="D98" s="16" t="s">
        <v>308</v>
      </c>
      <c r="E98" s="15" t="s">
        <v>855</v>
      </c>
      <c r="F98" s="15" t="s">
        <v>212</v>
      </c>
      <c r="G98" s="15" t="s">
        <v>114</v>
      </c>
      <c r="H98" s="15" t="s">
        <v>812</v>
      </c>
      <c r="I98" s="15" t="s">
        <v>856</v>
      </c>
      <c r="J98" s="15" t="s">
        <v>857</v>
      </c>
      <c r="K98" s="15" t="s">
        <v>252</v>
      </c>
      <c r="L98" s="15" t="s">
        <v>858</v>
      </c>
      <c r="M98" s="15" t="s">
        <v>254</v>
      </c>
      <c r="N98" s="16" t="n">
        <v>3</v>
      </c>
      <c r="O98" s="18" t="s">
        <v>274</v>
      </c>
      <c r="P98" s="16" t="s">
        <v>352</v>
      </c>
      <c r="Q98" s="16" t="s">
        <v>353</v>
      </c>
      <c r="R98" s="15" t="s">
        <v>817</v>
      </c>
      <c r="S98" s="15" t="s">
        <v>859</v>
      </c>
    </row>
    <row r="99" customFormat="false" ht="75" hidden="false" customHeight="true" outlineLevel="0" collapsed="false">
      <c r="A99" s="14" t="s">
        <v>860</v>
      </c>
      <c r="B99" s="15" t="s">
        <v>112</v>
      </c>
      <c r="C99" s="15" t="s">
        <v>113</v>
      </c>
      <c r="D99" s="16" t="s">
        <v>308</v>
      </c>
      <c r="E99" s="15" t="s">
        <v>861</v>
      </c>
      <c r="F99" s="15" t="s">
        <v>212</v>
      </c>
      <c r="G99" s="15" t="s">
        <v>114</v>
      </c>
      <c r="H99" s="15" t="s">
        <v>862</v>
      </c>
      <c r="I99" s="15" t="s">
        <v>863</v>
      </c>
      <c r="J99" s="15" t="s">
        <v>864</v>
      </c>
      <c r="K99" s="15" t="s">
        <v>252</v>
      </c>
      <c r="L99" s="15" t="s">
        <v>865</v>
      </c>
      <c r="M99" s="15" t="s">
        <v>254</v>
      </c>
      <c r="N99" s="16" t="n">
        <v>5</v>
      </c>
      <c r="O99" s="19" t="s">
        <v>367</v>
      </c>
      <c r="P99" s="16" t="s">
        <v>352</v>
      </c>
      <c r="Q99" s="16" t="s">
        <v>353</v>
      </c>
      <c r="R99" s="15" t="s">
        <v>866</v>
      </c>
      <c r="S99" s="15" t="s">
        <v>867</v>
      </c>
    </row>
    <row r="100" customFormat="false" ht="63" hidden="false" customHeight="true" outlineLevel="0" collapsed="false">
      <c r="A100" s="14" t="s">
        <v>868</v>
      </c>
      <c r="B100" s="15" t="s">
        <v>112</v>
      </c>
      <c r="C100" s="15" t="s">
        <v>113</v>
      </c>
      <c r="D100" s="16" t="s">
        <v>308</v>
      </c>
      <c r="E100" s="15" t="s">
        <v>869</v>
      </c>
      <c r="F100" s="15" t="s">
        <v>215</v>
      </c>
      <c r="G100" s="15" t="s">
        <v>114</v>
      </c>
      <c r="H100" s="15" t="s">
        <v>870</v>
      </c>
      <c r="I100" s="15" t="s">
        <v>871</v>
      </c>
      <c r="J100" s="15" t="s">
        <v>872</v>
      </c>
      <c r="K100" s="15" t="s">
        <v>252</v>
      </c>
      <c r="L100" s="15" t="s">
        <v>873</v>
      </c>
      <c r="M100" s="15" t="s">
        <v>254</v>
      </c>
      <c r="N100" s="16" t="n">
        <v>5</v>
      </c>
      <c r="O100" s="17" t="s">
        <v>243</v>
      </c>
      <c r="P100" s="16" t="s">
        <v>447</v>
      </c>
      <c r="Q100" s="16" t="s">
        <v>448</v>
      </c>
      <c r="R100" s="15" t="s">
        <v>603</v>
      </c>
      <c r="S100" s="15" t="s">
        <v>874</v>
      </c>
    </row>
    <row r="101" customFormat="false" ht="28.5" hidden="false" customHeight="true" outlineLevel="0" collapsed="false">
      <c r="A101" s="14" t="s">
        <v>875</v>
      </c>
      <c r="B101" s="15" t="s">
        <v>112</v>
      </c>
      <c r="C101" s="15" t="s">
        <v>113</v>
      </c>
      <c r="D101" s="16" t="s">
        <v>308</v>
      </c>
      <c r="E101" s="15" t="s">
        <v>876</v>
      </c>
      <c r="F101" s="15" t="s">
        <v>215</v>
      </c>
      <c r="G101" s="15" t="s">
        <v>114</v>
      </c>
      <c r="H101" s="15" t="s">
        <v>870</v>
      </c>
      <c r="I101" s="15" t="s">
        <v>877</v>
      </c>
      <c r="J101" s="15" t="s">
        <v>878</v>
      </c>
      <c r="K101" s="15" t="s">
        <v>252</v>
      </c>
      <c r="L101" s="15" t="s">
        <v>879</v>
      </c>
      <c r="M101" s="15" t="s">
        <v>254</v>
      </c>
      <c r="N101" s="16" t="n">
        <v>1</v>
      </c>
      <c r="O101" s="19" t="s">
        <v>367</v>
      </c>
      <c r="P101" s="16" t="s">
        <v>447</v>
      </c>
      <c r="Q101" s="16" t="s">
        <v>448</v>
      </c>
      <c r="R101" s="15" t="s">
        <v>880</v>
      </c>
      <c r="S101" s="15" t="s">
        <v>881</v>
      </c>
    </row>
    <row r="102" customFormat="false" ht="40.5" hidden="false" customHeight="true" outlineLevel="0" collapsed="false">
      <c r="A102" s="14" t="s">
        <v>882</v>
      </c>
      <c r="B102" s="15" t="s">
        <v>112</v>
      </c>
      <c r="C102" s="15" t="s">
        <v>113</v>
      </c>
      <c r="D102" s="16" t="s">
        <v>308</v>
      </c>
      <c r="E102" s="15" t="s">
        <v>883</v>
      </c>
      <c r="F102" s="15" t="s">
        <v>215</v>
      </c>
      <c r="G102" s="15" t="s">
        <v>114</v>
      </c>
      <c r="H102" s="15" t="s">
        <v>870</v>
      </c>
      <c r="I102" s="15" t="s">
        <v>884</v>
      </c>
      <c r="J102" s="15" t="s">
        <v>885</v>
      </c>
      <c r="K102" s="15" t="s">
        <v>252</v>
      </c>
      <c r="L102" s="15" t="s">
        <v>886</v>
      </c>
      <c r="M102" s="15" t="s">
        <v>254</v>
      </c>
      <c r="N102" s="16" t="n">
        <v>2</v>
      </c>
      <c r="O102" s="19" t="s">
        <v>367</v>
      </c>
      <c r="P102" s="16" t="s">
        <v>447</v>
      </c>
      <c r="Q102" s="16" t="s">
        <v>448</v>
      </c>
      <c r="R102" s="15" t="s">
        <v>868</v>
      </c>
      <c r="S102" s="15" t="s">
        <v>887</v>
      </c>
    </row>
    <row r="103" customFormat="false" ht="40.5" hidden="false" customHeight="true" outlineLevel="0" collapsed="false">
      <c r="A103" s="14" t="s">
        <v>888</v>
      </c>
      <c r="B103" s="15" t="s">
        <v>112</v>
      </c>
      <c r="C103" s="15" t="s">
        <v>113</v>
      </c>
      <c r="D103" s="16" t="s">
        <v>308</v>
      </c>
      <c r="E103" s="15" t="s">
        <v>889</v>
      </c>
      <c r="F103" s="15" t="s">
        <v>215</v>
      </c>
      <c r="G103" s="15" t="s">
        <v>114</v>
      </c>
      <c r="H103" s="15" t="s">
        <v>870</v>
      </c>
      <c r="I103" s="15" t="s">
        <v>890</v>
      </c>
      <c r="J103" s="15" t="s">
        <v>891</v>
      </c>
      <c r="K103" s="15" t="s">
        <v>252</v>
      </c>
      <c r="L103" s="15" t="s">
        <v>892</v>
      </c>
      <c r="M103" s="15" t="s">
        <v>254</v>
      </c>
      <c r="N103" s="16" t="n">
        <v>3</v>
      </c>
      <c r="O103" s="19" t="s">
        <v>367</v>
      </c>
      <c r="P103" s="16" t="s">
        <v>447</v>
      </c>
      <c r="Q103" s="16" t="s">
        <v>448</v>
      </c>
      <c r="R103" s="15" t="s">
        <v>893</v>
      </c>
      <c r="S103" s="15" t="s">
        <v>894</v>
      </c>
    </row>
    <row r="104" customFormat="false" ht="51.75" hidden="false" customHeight="true" outlineLevel="0" collapsed="false">
      <c r="A104" s="14" t="s">
        <v>895</v>
      </c>
      <c r="B104" s="15" t="s">
        <v>112</v>
      </c>
      <c r="C104" s="15" t="s">
        <v>113</v>
      </c>
      <c r="D104" s="16" t="s">
        <v>308</v>
      </c>
      <c r="E104" s="15" t="s">
        <v>896</v>
      </c>
      <c r="F104" s="15" t="s">
        <v>215</v>
      </c>
      <c r="G104" s="15" t="s">
        <v>114</v>
      </c>
      <c r="H104" s="15" t="s">
        <v>897</v>
      </c>
      <c r="I104" s="15" t="s">
        <v>898</v>
      </c>
      <c r="J104" s="15" t="s">
        <v>899</v>
      </c>
      <c r="K104" s="15" t="s">
        <v>252</v>
      </c>
      <c r="L104" s="15" t="s">
        <v>900</v>
      </c>
      <c r="M104" s="15" t="s">
        <v>254</v>
      </c>
      <c r="N104" s="16" t="n">
        <v>5</v>
      </c>
      <c r="O104" s="18" t="s">
        <v>274</v>
      </c>
      <c r="P104" s="16" t="s">
        <v>447</v>
      </c>
      <c r="Q104" s="16" t="s">
        <v>448</v>
      </c>
      <c r="R104" s="15" t="s">
        <v>868</v>
      </c>
      <c r="S104" s="15" t="s">
        <v>901</v>
      </c>
    </row>
    <row r="105" customFormat="false" ht="51.75" hidden="false" customHeight="true" outlineLevel="0" collapsed="false">
      <c r="A105" s="14" t="s">
        <v>902</v>
      </c>
      <c r="B105" s="15" t="s">
        <v>112</v>
      </c>
      <c r="C105" s="15" t="s">
        <v>113</v>
      </c>
      <c r="D105" s="16" t="s">
        <v>308</v>
      </c>
      <c r="E105" s="15" t="s">
        <v>903</v>
      </c>
      <c r="F105" s="15" t="s">
        <v>215</v>
      </c>
      <c r="G105" s="15" t="s">
        <v>114</v>
      </c>
      <c r="H105" s="15" t="s">
        <v>897</v>
      </c>
      <c r="I105" s="15" t="s">
        <v>904</v>
      </c>
      <c r="J105" s="15" t="s">
        <v>905</v>
      </c>
      <c r="K105" s="15" t="s">
        <v>252</v>
      </c>
      <c r="L105" s="15" t="s">
        <v>906</v>
      </c>
      <c r="M105" s="15" t="s">
        <v>254</v>
      </c>
      <c r="N105" s="16" t="n">
        <v>5</v>
      </c>
      <c r="O105" s="18" t="s">
        <v>274</v>
      </c>
      <c r="P105" s="16" t="s">
        <v>447</v>
      </c>
      <c r="Q105" s="16" t="s">
        <v>448</v>
      </c>
      <c r="R105" s="15" t="s">
        <v>907</v>
      </c>
      <c r="S105" s="15" t="s">
        <v>908</v>
      </c>
    </row>
    <row r="106" customFormat="false" ht="75" hidden="false" customHeight="true" outlineLevel="0" collapsed="false">
      <c r="A106" s="14" t="s">
        <v>909</v>
      </c>
      <c r="B106" s="15" t="s">
        <v>112</v>
      </c>
      <c r="C106" s="15" t="s">
        <v>113</v>
      </c>
      <c r="D106" s="16" t="s">
        <v>308</v>
      </c>
      <c r="E106" s="15" t="s">
        <v>910</v>
      </c>
      <c r="F106" s="15" t="s">
        <v>215</v>
      </c>
      <c r="G106" s="15" t="s">
        <v>114</v>
      </c>
      <c r="H106" s="15" t="s">
        <v>897</v>
      </c>
      <c r="I106" s="15" t="s">
        <v>911</v>
      </c>
      <c r="J106" s="15" t="s">
        <v>912</v>
      </c>
      <c r="K106" s="15" t="s">
        <v>252</v>
      </c>
      <c r="L106" s="15" t="s">
        <v>913</v>
      </c>
      <c r="M106" s="15" t="s">
        <v>254</v>
      </c>
      <c r="N106" s="16" t="n">
        <v>3</v>
      </c>
      <c r="O106" s="18" t="s">
        <v>274</v>
      </c>
      <c r="P106" s="16" t="s">
        <v>447</v>
      </c>
      <c r="Q106" s="16" t="s">
        <v>448</v>
      </c>
      <c r="R106" s="15" t="s">
        <v>914</v>
      </c>
      <c r="S106" s="15" t="s">
        <v>901</v>
      </c>
    </row>
    <row r="107" customFormat="false" ht="63" hidden="false" customHeight="true" outlineLevel="0" collapsed="false">
      <c r="A107" s="14" t="s">
        <v>915</v>
      </c>
      <c r="B107" s="15" t="s">
        <v>112</v>
      </c>
      <c r="C107" s="15" t="s">
        <v>113</v>
      </c>
      <c r="D107" s="16" t="s">
        <v>308</v>
      </c>
      <c r="E107" s="15" t="s">
        <v>916</v>
      </c>
      <c r="F107" s="15" t="s">
        <v>215</v>
      </c>
      <c r="G107" s="15" t="s">
        <v>114</v>
      </c>
      <c r="H107" s="15" t="s">
        <v>897</v>
      </c>
      <c r="I107" s="15" t="s">
        <v>917</v>
      </c>
      <c r="J107" s="15" t="s">
        <v>918</v>
      </c>
      <c r="K107" s="15" t="s">
        <v>252</v>
      </c>
      <c r="L107" s="15" t="s">
        <v>919</v>
      </c>
      <c r="M107" s="15" t="s">
        <v>254</v>
      </c>
      <c r="N107" s="16" t="n">
        <v>3</v>
      </c>
      <c r="O107" s="17" t="s">
        <v>243</v>
      </c>
      <c r="P107" s="16" t="s">
        <v>447</v>
      </c>
      <c r="Q107" s="16" t="s">
        <v>448</v>
      </c>
      <c r="R107" s="15" t="s">
        <v>920</v>
      </c>
      <c r="S107" s="15" t="s">
        <v>921</v>
      </c>
    </row>
    <row r="108" customFormat="false" ht="40.5" hidden="false" customHeight="true" outlineLevel="0" collapsed="false">
      <c r="A108" s="14" t="s">
        <v>922</v>
      </c>
      <c r="B108" s="15" t="s">
        <v>112</v>
      </c>
      <c r="C108" s="15" t="s">
        <v>113</v>
      </c>
      <c r="D108" s="16" t="s">
        <v>308</v>
      </c>
      <c r="E108" s="15" t="s">
        <v>923</v>
      </c>
      <c r="F108" s="15" t="s">
        <v>215</v>
      </c>
      <c r="G108" s="15" t="s">
        <v>114</v>
      </c>
      <c r="H108" s="15" t="s">
        <v>924</v>
      </c>
      <c r="I108" s="15" t="s">
        <v>925</v>
      </c>
      <c r="J108" s="15" t="s">
        <v>926</v>
      </c>
      <c r="K108" s="15" t="s">
        <v>252</v>
      </c>
      <c r="L108" s="15" t="s">
        <v>927</v>
      </c>
      <c r="M108" s="15" t="s">
        <v>254</v>
      </c>
      <c r="N108" s="16" t="n">
        <v>3</v>
      </c>
      <c r="O108" s="18" t="s">
        <v>274</v>
      </c>
      <c r="P108" s="16" t="s">
        <v>447</v>
      </c>
      <c r="Q108" s="16" t="s">
        <v>448</v>
      </c>
      <c r="R108" s="15" t="s">
        <v>915</v>
      </c>
      <c r="S108" s="15" t="s">
        <v>928</v>
      </c>
    </row>
    <row r="109" customFormat="false" ht="28.5" hidden="false" customHeight="true" outlineLevel="0" collapsed="false">
      <c r="A109" s="14" t="s">
        <v>929</v>
      </c>
      <c r="B109" s="15" t="s">
        <v>112</v>
      </c>
      <c r="C109" s="15" t="s">
        <v>113</v>
      </c>
      <c r="D109" s="16" t="s">
        <v>308</v>
      </c>
      <c r="E109" s="15" t="s">
        <v>930</v>
      </c>
      <c r="F109" s="15" t="s">
        <v>215</v>
      </c>
      <c r="G109" s="15" t="s">
        <v>114</v>
      </c>
      <c r="H109" s="15" t="s">
        <v>924</v>
      </c>
      <c r="I109" s="15" t="s">
        <v>931</v>
      </c>
      <c r="J109" s="15" t="s">
        <v>932</v>
      </c>
      <c r="K109" s="15" t="s">
        <v>252</v>
      </c>
      <c r="L109" s="15" t="s">
        <v>933</v>
      </c>
      <c r="M109" s="15" t="s">
        <v>254</v>
      </c>
      <c r="N109" s="16" t="n">
        <v>3</v>
      </c>
      <c r="O109" s="18" t="s">
        <v>274</v>
      </c>
      <c r="P109" s="16" t="s">
        <v>447</v>
      </c>
      <c r="Q109" s="16" t="s">
        <v>448</v>
      </c>
      <c r="R109" s="15" t="s">
        <v>934</v>
      </c>
      <c r="S109" s="15" t="s">
        <v>928</v>
      </c>
    </row>
    <row r="110" customFormat="false" ht="28.5" hidden="false" customHeight="true" outlineLevel="0" collapsed="false">
      <c r="A110" s="14" t="s">
        <v>935</v>
      </c>
      <c r="B110" s="15" t="s">
        <v>112</v>
      </c>
      <c r="C110" s="15" t="s">
        <v>113</v>
      </c>
      <c r="D110" s="16" t="s">
        <v>308</v>
      </c>
      <c r="E110" s="15" t="s">
        <v>936</v>
      </c>
      <c r="F110" s="15" t="s">
        <v>215</v>
      </c>
      <c r="G110" s="15" t="s">
        <v>114</v>
      </c>
      <c r="H110" s="15" t="s">
        <v>924</v>
      </c>
      <c r="I110" s="15" t="s">
        <v>937</v>
      </c>
      <c r="J110" s="15" t="s">
        <v>938</v>
      </c>
      <c r="K110" s="15" t="s">
        <v>252</v>
      </c>
      <c r="L110" s="15" t="s">
        <v>939</v>
      </c>
      <c r="M110" s="15" t="s">
        <v>254</v>
      </c>
      <c r="N110" s="16" t="n">
        <v>1</v>
      </c>
      <c r="O110" s="20" t="s">
        <v>772</v>
      </c>
      <c r="P110" s="16" t="s">
        <v>447</v>
      </c>
      <c r="Q110" s="16" t="s">
        <v>448</v>
      </c>
      <c r="R110" s="15" t="s">
        <v>922</v>
      </c>
      <c r="S110" s="15" t="s">
        <v>928</v>
      </c>
    </row>
    <row r="111" customFormat="false" ht="40.5" hidden="false" customHeight="true" outlineLevel="0" collapsed="false">
      <c r="A111" s="14" t="s">
        <v>940</v>
      </c>
      <c r="B111" s="15" t="s">
        <v>112</v>
      </c>
      <c r="C111" s="15" t="s">
        <v>113</v>
      </c>
      <c r="D111" s="16" t="s">
        <v>308</v>
      </c>
      <c r="E111" s="15" t="s">
        <v>941</v>
      </c>
      <c r="F111" s="15" t="s">
        <v>215</v>
      </c>
      <c r="G111" s="15" t="s">
        <v>114</v>
      </c>
      <c r="H111" s="15" t="s">
        <v>924</v>
      </c>
      <c r="I111" s="15" t="s">
        <v>942</v>
      </c>
      <c r="J111" s="15" t="s">
        <v>943</v>
      </c>
      <c r="K111" s="15" t="s">
        <v>252</v>
      </c>
      <c r="L111" s="15" t="s">
        <v>944</v>
      </c>
      <c r="M111" s="15" t="s">
        <v>254</v>
      </c>
      <c r="N111" s="16" t="n">
        <v>2</v>
      </c>
      <c r="O111" s="18" t="s">
        <v>274</v>
      </c>
      <c r="P111" s="16" t="s">
        <v>447</v>
      </c>
      <c r="Q111" s="16" t="s">
        <v>448</v>
      </c>
      <c r="R111" s="15" t="s">
        <v>945</v>
      </c>
      <c r="S111" s="15" t="s">
        <v>946</v>
      </c>
    </row>
    <row r="112" customFormat="false" ht="40.5" hidden="false" customHeight="true" outlineLevel="0" collapsed="false">
      <c r="A112" s="14" t="s">
        <v>947</v>
      </c>
      <c r="B112" s="15" t="s">
        <v>112</v>
      </c>
      <c r="C112" s="15" t="s">
        <v>113</v>
      </c>
      <c r="D112" s="16" t="s">
        <v>308</v>
      </c>
      <c r="E112" s="15" t="s">
        <v>948</v>
      </c>
      <c r="F112" s="15" t="s">
        <v>215</v>
      </c>
      <c r="G112" s="15" t="s">
        <v>114</v>
      </c>
      <c r="H112" s="15" t="s">
        <v>924</v>
      </c>
      <c r="I112" s="15" t="s">
        <v>949</v>
      </c>
      <c r="J112" s="15" t="s">
        <v>950</v>
      </c>
      <c r="K112" s="15" t="s">
        <v>252</v>
      </c>
      <c r="L112" s="15" t="s">
        <v>951</v>
      </c>
      <c r="M112" s="15" t="s">
        <v>254</v>
      </c>
      <c r="N112" s="16" t="n">
        <v>5</v>
      </c>
      <c r="O112" s="18" t="s">
        <v>274</v>
      </c>
      <c r="P112" s="16" t="s">
        <v>447</v>
      </c>
      <c r="Q112" s="16" t="s">
        <v>448</v>
      </c>
      <c r="R112" s="15" t="s">
        <v>934</v>
      </c>
      <c r="S112" s="15" t="s">
        <v>952</v>
      </c>
    </row>
    <row r="113" customFormat="false" ht="28.5" hidden="false" customHeight="true" outlineLevel="0" collapsed="false">
      <c r="A113" s="14" t="s">
        <v>953</v>
      </c>
      <c r="B113" s="15" t="s">
        <v>112</v>
      </c>
      <c r="C113" s="15" t="s">
        <v>113</v>
      </c>
      <c r="D113" s="16" t="s">
        <v>308</v>
      </c>
      <c r="E113" s="15" t="s">
        <v>954</v>
      </c>
      <c r="F113" s="15" t="s">
        <v>215</v>
      </c>
      <c r="G113" s="15" t="s">
        <v>114</v>
      </c>
      <c r="H113" s="15" t="s">
        <v>924</v>
      </c>
      <c r="I113" s="15" t="s">
        <v>955</v>
      </c>
      <c r="J113" s="15" t="s">
        <v>956</v>
      </c>
      <c r="K113" s="15" t="s">
        <v>252</v>
      </c>
      <c r="L113" s="15" t="s">
        <v>957</v>
      </c>
      <c r="M113" s="15" t="s">
        <v>254</v>
      </c>
      <c r="N113" s="16" t="n">
        <v>1</v>
      </c>
      <c r="O113" s="20" t="s">
        <v>772</v>
      </c>
      <c r="P113" s="16" t="s">
        <v>447</v>
      </c>
      <c r="Q113" s="16" t="s">
        <v>448</v>
      </c>
      <c r="R113" s="15" t="s">
        <v>922</v>
      </c>
      <c r="S113" s="15" t="s">
        <v>928</v>
      </c>
    </row>
    <row r="114" customFormat="false" ht="28.5" hidden="false" customHeight="true" outlineLevel="0" collapsed="false">
      <c r="A114" s="14" t="s">
        <v>958</v>
      </c>
      <c r="B114" s="15" t="s">
        <v>112</v>
      </c>
      <c r="C114" s="15" t="s">
        <v>113</v>
      </c>
      <c r="D114" s="16" t="s">
        <v>308</v>
      </c>
      <c r="E114" s="15" t="s">
        <v>959</v>
      </c>
      <c r="F114" s="15" t="s">
        <v>215</v>
      </c>
      <c r="G114" s="15" t="s">
        <v>114</v>
      </c>
      <c r="H114" s="15" t="s">
        <v>924</v>
      </c>
      <c r="I114" s="15" t="s">
        <v>960</v>
      </c>
      <c r="J114" s="15" t="s">
        <v>961</v>
      </c>
      <c r="K114" s="15" t="s">
        <v>252</v>
      </c>
      <c r="L114" s="15" t="s">
        <v>962</v>
      </c>
      <c r="M114" s="15" t="s">
        <v>254</v>
      </c>
      <c r="N114" s="16" t="n">
        <v>2</v>
      </c>
      <c r="O114" s="19" t="s">
        <v>367</v>
      </c>
      <c r="P114" s="16" t="s">
        <v>447</v>
      </c>
      <c r="Q114" s="16" t="s">
        <v>448</v>
      </c>
      <c r="R114" s="15" t="s">
        <v>922</v>
      </c>
      <c r="S114" s="15" t="s">
        <v>963</v>
      </c>
    </row>
    <row r="115" customFormat="false" ht="40.5" hidden="false" customHeight="true" outlineLevel="0" collapsed="false">
      <c r="A115" s="14" t="s">
        <v>964</v>
      </c>
      <c r="B115" s="15" t="s">
        <v>112</v>
      </c>
      <c r="C115" s="15" t="s">
        <v>113</v>
      </c>
      <c r="D115" s="16" t="s">
        <v>308</v>
      </c>
      <c r="E115" s="15" t="s">
        <v>965</v>
      </c>
      <c r="F115" s="15" t="s">
        <v>215</v>
      </c>
      <c r="G115" s="15" t="s">
        <v>114</v>
      </c>
      <c r="H115" s="15" t="s">
        <v>924</v>
      </c>
      <c r="I115" s="15" t="s">
        <v>966</v>
      </c>
      <c r="J115" s="15" t="s">
        <v>967</v>
      </c>
      <c r="K115" s="15" t="s">
        <v>252</v>
      </c>
      <c r="L115" s="15" t="s">
        <v>968</v>
      </c>
      <c r="M115" s="15" t="s">
        <v>254</v>
      </c>
      <c r="N115" s="16" t="n">
        <v>2</v>
      </c>
      <c r="O115" s="19" t="s">
        <v>367</v>
      </c>
      <c r="P115" s="16" t="s">
        <v>447</v>
      </c>
      <c r="Q115" s="16" t="s">
        <v>448</v>
      </c>
      <c r="R115" s="15" t="s">
        <v>922</v>
      </c>
      <c r="S115" s="15" t="s">
        <v>969</v>
      </c>
    </row>
    <row r="116" customFormat="false" ht="40.5" hidden="false" customHeight="true" outlineLevel="0" collapsed="false">
      <c r="A116" s="14" t="s">
        <v>970</v>
      </c>
      <c r="B116" s="15" t="s">
        <v>112</v>
      </c>
      <c r="C116" s="15" t="s">
        <v>113</v>
      </c>
      <c r="D116" s="16" t="s">
        <v>308</v>
      </c>
      <c r="E116" s="15" t="s">
        <v>971</v>
      </c>
      <c r="F116" s="15" t="s">
        <v>215</v>
      </c>
      <c r="G116" s="15" t="s">
        <v>114</v>
      </c>
      <c r="H116" s="15" t="s">
        <v>924</v>
      </c>
      <c r="I116" s="15" t="s">
        <v>972</v>
      </c>
      <c r="J116" s="15" t="s">
        <v>973</v>
      </c>
      <c r="K116" s="15" t="s">
        <v>252</v>
      </c>
      <c r="L116" s="15" t="s">
        <v>974</v>
      </c>
      <c r="M116" s="15" t="s">
        <v>254</v>
      </c>
      <c r="N116" s="16" t="n">
        <v>3</v>
      </c>
      <c r="O116" s="19" t="s">
        <v>367</v>
      </c>
      <c r="P116" s="16" t="s">
        <v>447</v>
      </c>
      <c r="Q116" s="16" t="s">
        <v>448</v>
      </c>
      <c r="R116" s="15" t="s">
        <v>975</v>
      </c>
      <c r="S116" s="15" t="s">
        <v>976</v>
      </c>
    </row>
    <row r="117" customFormat="false" ht="51.75" hidden="false" customHeight="true" outlineLevel="0" collapsed="false">
      <c r="A117" s="14" t="s">
        <v>977</v>
      </c>
      <c r="B117" s="15" t="s">
        <v>112</v>
      </c>
      <c r="C117" s="15" t="s">
        <v>113</v>
      </c>
      <c r="D117" s="16" t="s">
        <v>308</v>
      </c>
      <c r="E117" s="15" t="s">
        <v>978</v>
      </c>
      <c r="F117" s="15" t="s">
        <v>215</v>
      </c>
      <c r="G117" s="15" t="s">
        <v>114</v>
      </c>
      <c r="H117" s="15" t="s">
        <v>924</v>
      </c>
      <c r="I117" s="15" t="s">
        <v>979</v>
      </c>
      <c r="J117" s="15" t="s">
        <v>980</v>
      </c>
      <c r="K117" s="15" t="s">
        <v>252</v>
      </c>
      <c r="L117" s="15" t="s">
        <v>981</v>
      </c>
      <c r="M117" s="15" t="s">
        <v>254</v>
      </c>
      <c r="N117" s="16" t="n">
        <v>3</v>
      </c>
      <c r="O117" s="18" t="s">
        <v>274</v>
      </c>
      <c r="P117" s="16" t="s">
        <v>447</v>
      </c>
      <c r="Q117" s="16" t="s">
        <v>448</v>
      </c>
      <c r="R117" s="15" t="s">
        <v>982</v>
      </c>
      <c r="S117" s="15" t="s">
        <v>983</v>
      </c>
    </row>
    <row r="118" customFormat="false" ht="28.5" hidden="false" customHeight="true" outlineLevel="0" collapsed="false">
      <c r="A118" s="14" t="s">
        <v>984</v>
      </c>
      <c r="B118" s="15" t="s">
        <v>112</v>
      </c>
      <c r="C118" s="15" t="s">
        <v>113</v>
      </c>
      <c r="D118" s="16" t="s">
        <v>308</v>
      </c>
      <c r="E118" s="15" t="s">
        <v>985</v>
      </c>
      <c r="F118" s="15" t="s">
        <v>215</v>
      </c>
      <c r="G118" s="15" t="s">
        <v>114</v>
      </c>
      <c r="H118" s="15" t="s">
        <v>924</v>
      </c>
      <c r="I118" s="15" t="s">
        <v>986</v>
      </c>
      <c r="J118" s="15" t="s">
        <v>987</v>
      </c>
      <c r="K118" s="15" t="s">
        <v>252</v>
      </c>
      <c r="L118" s="15" t="s">
        <v>988</v>
      </c>
      <c r="M118" s="15" t="s">
        <v>254</v>
      </c>
      <c r="N118" s="16" t="n">
        <v>2</v>
      </c>
      <c r="O118" s="19" t="s">
        <v>367</v>
      </c>
      <c r="P118" s="16" t="s">
        <v>447</v>
      </c>
      <c r="Q118" s="16" t="s">
        <v>448</v>
      </c>
      <c r="R118" s="15" t="s">
        <v>989</v>
      </c>
      <c r="S118" s="15" t="s">
        <v>990</v>
      </c>
    </row>
    <row r="119" customFormat="false" ht="63" hidden="false" customHeight="true" outlineLevel="0" collapsed="false">
      <c r="A119" s="14" t="s">
        <v>991</v>
      </c>
      <c r="B119" s="15" t="s">
        <v>112</v>
      </c>
      <c r="C119" s="15" t="s">
        <v>113</v>
      </c>
      <c r="D119" s="16" t="s">
        <v>308</v>
      </c>
      <c r="E119" s="15" t="s">
        <v>992</v>
      </c>
      <c r="F119" s="15" t="s">
        <v>215</v>
      </c>
      <c r="G119" s="15" t="s">
        <v>114</v>
      </c>
      <c r="H119" s="15" t="s">
        <v>924</v>
      </c>
      <c r="I119" s="15" t="s">
        <v>993</v>
      </c>
      <c r="J119" s="15" t="s">
        <v>994</v>
      </c>
      <c r="K119" s="15" t="s">
        <v>252</v>
      </c>
      <c r="L119" s="15" t="s">
        <v>995</v>
      </c>
      <c r="M119" s="15" t="s">
        <v>254</v>
      </c>
      <c r="N119" s="16" t="n">
        <v>5</v>
      </c>
      <c r="O119" s="18" t="s">
        <v>274</v>
      </c>
      <c r="P119" s="16" t="s">
        <v>447</v>
      </c>
      <c r="Q119" s="16" t="s">
        <v>448</v>
      </c>
      <c r="R119" s="15" t="s">
        <v>996</v>
      </c>
      <c r="S119" s="15" t="s">
        <v>997</v>
      </c>
    </row>
    <row r="120" customFormat="false" ht="51.75" hidden="false" customHeight="true" outlineLevel="0" collapsed="false">
      <c r="A120" s="14" t="s">
        <v>998</v>
      </c>
      <c r="B120" s="15" t="s">
        <v>112</v>
      </c>
      <c r="C120" s="15" t="s">
        <v>113</v>
      </c>
      <c r="D120" s="16" t="s">
        <v>308</v>
      </c>
      <c r="E120" s="15" t="s">
        <v>999</v>
      </c>
      <c r="F120" s="15" t="s">
        <v>215</v>
      </c>
      <c r="G120" s="15" t="s">
        <v>114</v>
      </c>
      <c r="H120" s="15" t="s">
        <v>1000</v>
      </c>
      <c r="I120" s="15" t="s">
        <v>1001</v>
      </c>
      <c r="J120" s="15" t="s">
        <v>1002</v>
      </c>
      <c r="K120" s="15" t="s">
        <v>252</v>
      </c>
      <c r="L120" s="15" t="s">
        <v>1003</v>
      </c>
      <c r="M120" s="15" t="s">
        <v>254</v>
      </c>
      <c r="N120" s="16" t="n">
        <v>3</v>
      </c>
      <c r="O120" s="18" t="s">
        <v>274</v>
      </c>
      <c r="P120" s="16" t="s">
        <v>447</v>
      </c>
      <c r="Q120" s="16" t="s">
        <v>448</v>
      </c>
      <c r="R120" s="15" t="s">
        <v>1004</v>
      </c>
      <c r="S120" s="15" t="s">
        <v>1005</v>
      </c>
    </row>
  </sheetData>
  <autoFilter ref="A1:S12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G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2"/>
    <col collapsed="false" customWidth="true" hidden="false" outlineLevel="0" max="7" min="7" style="0" width="14"/>
  </cols>
  <sheetData>
    <row r="1" customFormat="false" ht="17.35" hidden="false" customHeight="false" outlineLevel="0" collapsed="false">
      <c r="A1" s="21" t="s">
        <v>1006</v>
      </c>
    </row>
    <row r="2" customFormat="false" ht="27.75" hidden="false" customHeight="true" outlineLevel="0" collapsed="false">
      <c r="A2" s="22" t="s">
        <v>1007</v>
      </c>
      <c r="B2" s="22"/>
      <c r="C2" s="22"/>
      <c r="D2" s="22"/>
      <c r="E2" s="22"/>
      <c r="F2" s="22"/>
      <c r="G2" s="22"/>
    </row>
    <row r="4" customFormat="false" ht="15" hidden="false" customHeight="false" outlineLevel="0" collapsed="false">
      <c r="A4" s="23" t="s">
        <v>1008</v>
      </c>
    </row>
    <row r="5" customFormat="false" ht="24" hidden="false" customHeight="true" outlineLevel="0" collapsed="false">
      <c r="B5" s="24" t="s">
        <v>72</v>
      </c>
      <c r="C5" s="24" t="s">
        <v>81</v>
      </c>
      <c r="D5" s="24" t="s">
        <v>97</v>
      </c>
      <c r="E5" s="24" t="s">
        <v>113</v>
      </c>
      <c r="F5" s="25" t="s">
        <v>1009</v>
      </c>
    </row>
    <row r="6" customFormat="false" ht="15" hidden="false" customHeight="false" outlineLevel="0" collapsed="false">
      <c r="A6" s="26" t="s">
        <v>244</v>
      </c>
      <c r="B6" s="27" t="n">
        <f aca="false">SUMIFS(Backlog!$N$2:$N$120,Backlog!$P$2:$P$120,"Week A",Backlog!$C$2:$C$120,"Platform Engineering")</f>
        <v>13</v>
      </c>
      <c r="C6" s="27" t="n">
        <f aca="false">SUMIFS(Backlog!$N$2:$N$120,Backlog!$P$2:$P$120,"Week A",Backlog!$C$2:$C$120,"Mobile")</f>
        <v>3</v>
      </c>
      <c r="D6" s="27" t="n">
        <f aca="false">SUMIFS(Backlog!$N$2:$N$120,Backlog!$P$2:$P$120,"Week A",Backlog!$C$2:$C$120,"Ops Web")</f>
        <v>5</v>
      </c>
      <c r="E6" s="27" t="n">
        <f aca="false">SUMIFS(Backlog!$N$2:$N$120,Backlog!$P$2:$P$120,"Week A",Backlog!$C$2:$C$120,"Platform Dashboard")</f>
        <v>3</v>
      </c>
      <c r="F6" s="28" t="n">
        <f aca="false">SUM(B6:E6)</f>
        <v>24</v>
      </c>
    </row>
    <row r="7" customFormat="false" ht="15" hidden="false" customHeight="false" outlineLevel="0" collapsed="false">
      <c r="A7" s="29" t="s">
        <v>261</v>
      </c>
      <c r="B7" s="30" t="n">
        <f aca="false">SUMIFS(Backlog!$N$2:$N$120,Backlog!$P$2:$P$120,"Week B",Backlog!$C$2:$C$120,"Platform Engineering")</f>
        <v>23</v>
      </c>
      <c r="C7" s="30" t="n">
        <f aca="false">SUMIFS(Backlog!$N$2:$N$120,Backlog!$P$2:$P$120,"Week B",Backlog!$C$2:$C$120,"Mobile")</f>
        <v>15</v>
      </c>
      <c r="D7" s="30" t="n">
        <f aca="false">SUMIFS(Backlog!$N$2:$N$120,Backlog!$P$2:$P$120,"Week B",Backlog!$C$2:$C$120,"Ops Web")</f>
        <v>16</v>
      </c>
      <c r="E7" s="30" t="n">
        <f aca="false">SUMIFS(Backlog!$N$2:$N$120,Backlog!$P$2:$P$120,"Week B",Backlog!$C$2:$C$120,"Platform Dashboard")</f>
        <v>21</v>
      </c>
      <c r="F7" s="31" t="n">
        <f aca="false">SUM(B7:E7)</f>
        <v>75</v>
      </c>
    </row>
    <row r="8" customFormat="false" ht="15" hidden="false" customHeight="false" outlineLevel="0" collapsed="false">
      <c r="A8" s="26" t="s">
        <v>382</v>
      </c>
      <c r="B8" s="27" t="n">
        <f aca="false">SUMIFS(Backlog!$N$2:$N$120,Backlog!$P$2:$P$120,"Week C",Backlog!$C$2:$C$120,"Platform Engineering")</f>
        <v>0</v>
      </c>
      <c r="C8" s="27" t="n">
        <f aca="false">SUMIFS(Backlog!$N$2:$N$120,Backlog!$P$2:$P$120,"Week C",Backlog!$C$2:$C$120,"Mobile")</f>
        <v>20</v>
      </c>
      <c r="D8" s="27" t="n">
        <f aca="false">SUMIFS(Backlog!$N$2:$N$120,Backlog!$P$2:$P$120,"Week C",Backlog!$C$2:$C$120,"Ops Web")</f>
        <v>10</v>
      </c>
      <c r="E8" s="27" t="n">
        <f aca="false">SUMIFS(Backlog!$N$2:$N$120,Backlog!$P$2:$P$120,"Week C",Backlog!$C$2:$C$120,"Platform Dashboard")</f>
        <v>45</v>
      </c>
      <c r="F8" s="28" t="n">
        <f aca="false">SUM(B8:E8)</f>
        <v>75</v>
      </c>
    </row>
    <row r="9" customFormat="false" ht="15" hidden="false" customHeight="false" outlineLevel="0" collapsed="false">
      <c r="A9" s="29" t="s">
        <v>352</v>
      </c>
      <c r="B9" s="30" t="n">
        <f aca="false">SUMIFS(Backlog!$N$2:$N$120,Backlog!$P$2:$P$120,"Week D",Backlog!$C$2:$C$120,"Platform Engineering")</f>
        <v>0</v>
      </c>
      <c r="C9" s="30" t="n">
        <f aca="false">SUMIFS(Backlog!$N$2:$N$120,Backlog!$P$2:$P$120,"Week D",Backlog!$C$2:$C$120,"Mobile")</f>
        <v>15</v>
      </c>
      <c r="D9" s="30" t="n">
        <f aca="false">SUMIFS(Backlog!$N$2:$N$120,Backlog!$P$2:$P$120,"Week D",Backlog!$C$2:$C$120,"Ops Web")</f>
        <v>0</v>
      </c>
      <c r="E9" s="30" t="n">
        <f aca="false">SUMIFS(Backlog!$N$2:$N$120,Backlog!$P$2:$P$120,"Week D",Backlog!$C$2:$C$120,"Platform Dashboard")</f>
        <v>55</v>
      </c>
      <c r="F9" s="31" t="n">
        <f aca="false">SUM(B9:E9)</f>
        <v>70</v>
      </c>
    </row>
    <row r="10" customFormat="false" ht="15" hidden="false" customHeight="false" outlineLevel="0" collapsed="false">
      <c r="A10" s="26" t="s">
        <v>447</v>
      </c>
      <c r="B10" s="27" t="n">
        <f aca="false">SUMIFS(Backlog!$N$2:$N$120,Backlog!$P$2:$P$120,"Week E",Backlog!$C$2:$C$120,"Platform Engineering")</f>
        <v>0</v>
      </c>
      <c r="C10" s="27" t="n">
        <f aca="false">SUMIFS(Backlog!$N$2:$N$120,Backlog!$P$2:$P$120,"Week E",Backlog!$C$2:$C$120,"Mobile")</f>
        <v>12</v>
      </c>
      <c r="D10" s="27" t="n">
        <f aca="false">SUMIFS(Backlog!$N$2:$N$120,Backlog!$P$2:$P$120,"Week E",Backlog!$C$2:$C$120,"Ops Web")</f>
        <v>0</v>
      </c>
      <c r="E10" s="27" t="n">
        <f aca="false">SUMIFS(Backlog!$N$2:$N$120,Backlog!$P$2:$P$120,"Week E",Backlog!$C$2:$C$120,"Platform Dashboard")</f>
        <v>62</v>
      </c>
      <c r="F10" s="28" t="n">
        <f aca="false">SUM(B10:E10)</f>
        <v>74</v>
      </c>
    </row>
    <row r="11" customFormat="false" ht="15" hidden="false" customHeight="false" outlineLevel="0" collapsed="false">
      <c r="A11" s="32" t="s">
        <v>1009</v>
      </c>
      <c r="B11" s="33" t="n">
        <f aca="false">SUM(B6:B10)</f>
        <v>36</v>
      </c>
      <c r="C11" s="33" t="n">
        <f aca="false">SUM(C6:C10)</f>
        <v>65</v>
      </c>
      <c r="D11" s="33" t="n">
        <f aca="false">SUM(D6:D10)</f>
        <v>31</v>
      </c>
      <c r="E11" s="33" t="n">
        <f aca="false">SUM(E6:E10)</f>
        <v>186</v>
      </c>
      <c r="F11" s="33" t="n">
        <f aca="false">SUM(F6:F10)</f>
        <v>318</v>
      </c>
    </row>
    <row r="14" customFormat="false" ht="15" hidden="false" customHeight="false" outlineLevel="0" collapsed="false">
      <c r="A14" s="23" t="s">
        <v>1010</v>
      </c>
    </row>
    <row r="15" customFormat="false" ht="24" hidden="false" customHeight="true" outlineLevel="0" collapsed="false">
      <c r="B15" s="24" t="s">
        <v>72</v>
      </c>
      <c r="C15" s="24" t="s">
        <v>81</v>
      </c>
      <c r="D15" s="24" t="s">
        <v>97</v>
      </c>
      <c r="E15" s="24" t="s">
        <v>113</v>
      </c>
      <c r="F15" s="25" t="s">
        <v>1009</v>
      </c>
    </row>
    <row r="16" customFormat="false" ht="15" hidden="false" customHeight="false" outlineLevel="0" collapsed="false">
      <c r="A16" s="26" t="s">
        <v>244</v>
      </c>
      <c r="B16" s="27" t="n">
        <f aca="false">COUNTIFS(Backlog!$P$2:$P$120,"Week A",Backlog!$C$2:$C$120,"Platform Engineering")</f>
        <v>3</v>
      </c>
      <c r="C16" s="27" t="n">
        <f aca="false">COUNTIFS(Backlog!$P$2:$P$120,"Week A",Backlog!$C$2:$C$120,"Mobile")</f>
        <v>1</v>
      </c>
      <c r="D16" s="27" t="n">
        <f aca="false">COUNTIFS(Backlog!$P$2:$P$120,"Week A",Backlog!$C$2:$C$120,"Ops Web")</f>
        <v>2</v>
      </c>
      <c r="E16" s="27" t="n">
        <f aca="false">COUNTIFS(Backlog!$P$2:$P$120,"Week A",Backlog!$C$2:$C$120,"Platform Dashboard")</f>
        <v>1</v>
      </c>
      <c r="F16" s="28" t="n">
        <f aca="false">SUM(B16:E16)</f>
        <v>7</v>
      </c>
    </row>
    <row r="17" customFormat="false" ht="15" hidden="false" customHeight="false" outlineLevel="0" collapsed="false">
      <c r="A17" s="29" t="s">
        <v>261</v>
      </c>
      <c r="B17" s="30" t="n">
        <f aca="false">COUNTIFS(Backlog!$P$2:$P$120,"Week B",Backlog!$C$2:$C$120,"Platform Engineering")</f>
        <v>7</v>
      </c>
      <c r="C17" s="30" t="n">
        <f aca="false">COUNTIFS(Backlog!$P$2:$P$120,"Week B",Backlog!$C$2:$C$120,"Mobile")</f>
        <v>6</v>
      </c>
      <c r="D17" s="30" t="n">
        <f aca="false">COUNTIFS(Backlog!$P$2:$P$120,"Week B",Backlog!$C$2:$C$120,"Ops Web")</f>
        <v>8</v>
      </c>
      <c r="E17" s="30" t="n">
        <f aca="false">COUNTIFS(Backlog!$P$2:$P$120,"Week B",Backlog!$C$2:$C$120,"Platform Dashboard")</f>
        <v>7</v>
      </c>
      <c r="F17" s="31" t="n">
        <f aca="false">SUM(B17:E17)</f>
        <v>28</v>
      </c>
    </row>
    <row r="18" customFormat="false" ht="15" hidden="false" customHeight="false" outlineLevel="0" collapsed="false">
      <c r="A18" s="26" t="s">
        <v>382</v>
      </c>
      <c r="B18" s="27" t="n">
        <f aca="false">COUNTIFS(Backlog!$P$2:$P$120,"Week C",Backlog!$C$2:$C$120,"Platform Engineering")</f>
        <v>0</v>
      </c>
      <c r="C18" s="27" t="n">
        <f aca="false">COUNTIFS(Backlog!$P$2:$P$120,"Week C",Backlog!$C$2:$C$120,"Mobile")</f>
        <v>11</v>
      </c>
      <c r="D18" s="27" t="n">
        <f aca="false">COUNTIFS(Backlog!$P$2:$P$120,"Week C",Backlog!$C$2:$C$120,"Ops Web")</f>
        <v>7</v>
      </c>
      <c r="E18" s="27" t="n">
        <f aca="false">COUNTIFS(Backlog!$P$2:$P$120,"Week C",Backlog!$C$2:$C$120,"Platform Dashboard")</f>
        <v>17</v>
      </c>
      <c r="F18" s="28" t="n">
        <f aca="false">SUM(B18:E18)</f>
        <v>35</v>
      </c>
    </row>
    <row r="19" customFormat="false" ht="15" hidden="false" customHeight="false" outlineLevel="0" collapsed="false">
      <c r="A19" s="29" t="s">
        <v>352</v>
      </c>
      <c r="B19" s="30" t="n">
        <f aca="false">COUNTIFS(Backlog!$P$2:$P$120,"Week D",Backlog!$C$2:$C$120,"Platform Engineering")</f>
        <v>0</v>
      </c>
      <c r="C19" s="30" t="n">
        <f aca="false">COUNTIFS(Backlog!$P$2:$P$120,"Week D",Backlog!$C$2:$C$120,"Mobile")</f>
        <v>5</v>
      </c>
      <c r="D19" s="30" t="n">
        <f aca="false">COUNTIFS(Backlog!$P$2:$P$120,"Week D",Backlog!$C$2:$C$120,"Ops Web")</f>
        <v>0</v>
      </c>
      <c r="E19" s="30" t="n">
        <f aca="false">COUNTIFS(Backlog!$P$2:$P$120,"Week D",Backlog!$C$2:$C$120,"Platform Dashboard")</f>
        <v>18</v>
      </c>
      <c r="F19" s="31" t="n">
        <f aca="false">SUM(B19:E19)</f>
        <v>23</v>
      </c>
    </row>
    <row r="20" customFormat="false" ht="15" hidden="false" customHeight="false" outlineLevel="0" collapsed="false">
      <c r="A20" s="26" t="s">
        <v>447</v>
      </c>
      <c r="B20" s="27" t="n">
        <f aca="false">COUNTIFS(Backlog!$P$2:$P$120,"Week E",Backlog!$C$2:$C$120,"Platform Engineering")</f>
        <v>0</v>
      </c>
      <c r="C20" s="27" t="n">
        <f aca="false">COUNTIFS(Backlog!$P$2:$P$120,"Week E",Backlog!$C$2:$C$120,"Mobile")</f>
        <v>5</v>
      </c>
      <c r="D20" s="27" t="n">
        <f aca="false">COUNTIFS(Backlog!$P$2:$P$120,"Week E",Backlog!$C$2:$C$120,"Ops Web")</f>
        <v>0</v>
      </c>
      <c r="E20" s="27" t="n">
        <f aca="false">COUNTIFS(Backlog!$P$2:$P$120,"Week E",Backlog!$C$2:$C$120,"Platform Dashboard")</f>
        <v>21</v>
      </c>
      <c r="F20" s="28" t="n">
        <f aca="false">SUM(B20:E20)</f>
        <v>26</v>
      </c>
    </row>
    <row r="21" customFormat="false" ht="15" hidden="false" customHeight="false" outlineLevel="0" collapsed="false">
      <c r="A21" s="32" t="s">
        <v>1009</v>
      </c>
      <c r="B21" s="33" t="n">
        <f aca="false">SUM(B16:B20)</f>
        <v>10</v>
      </c>
      <c r="C21" s="33" t="n">
        <f aca="false">SUM(C16:C20)</f>
        <v>28</v>
      </c>
      <c r="D21" s="33" t="n">
        <f aca="false">SUM(D16:D20)</f>
        <v>17</v>
      </c>
      <c r="E21" s="33" t="n">
        <f aca="false">SUM(E16:E20)</f>
        <v>64</v>
      </c>
      <c r="F21" s="33" t="n">
        <f aca="false">SUM(F16:F20)</f>
        <v>119</v>
      </c>
    </row>
    <row r="24" customFormat="false" ht="15" hidden="false" customHeight="false" outlineLevel="0" collapsed="false">
      <c r="A24" s="23" t="s">
        <v>1011</v>
      </c>
    </row>
    <row r="25" customFormat="false" ht="24" hidden="false" customHeight="true" outlineLevel="0" collapsed="false">
      <c r="B25" s="24" t="s">
        <v>72</v>
      </c>
      <c r="C25" s="24" t="s">
        <v>81</v>
      </c>
      <c r="D25" s="24" t="s">
        <v>97</v>
      </c>
      <c r="E25" s="24" t="s">
        <v>113</v>
      </c>
      <c r="F25" s="25" t="s">
        <v>1009</v>
      </c>
    </row>
    <row r="26" customFormat="false" ht="15" hidden="false" customHeight="false" outlineLevel="0" collapsed="false">
      <c r="A26" s="26" t="s">
        <v>245</v>
      </c>
      <c r="B26" s="27" t="n">
        <f aca="false">SUMIFS(Backlog!$N$2:$N$120,Backlog!$Q$2:$Q$120,"SP-00",Backlog!$C$2:$C$120,"Platform Engineering")</f>
        <v>36</v>
      </c>
      <c r="C26" s="27" t="n">
        <f aca="false">SUMIFS(Backlog!$N$2:$N$120,Backlog!$Q$2:$Q$120,"SP-00",Backlog!$C$2:$C$120,"Mobile")</f>
        <v>0</v>
      </c>
      <c r="D26" s="27" t="n">
        <f aca="false">SUMIFS(Backlog!$N$2:$N$120,Backlog!$Q$2:$Q$120,"SP-00",Backlog!$C$2:$C$120,"Ops Web")</f>
        <v>0</v>
      </c>
      <c r="E26" s="27" t="n">
        <f aca="false">SUMIFS(Backlog!$N$2:$N$120,Backlog!$Q$2:$Q$120,"SP-00",Backlog!$C$2:$C$120,"Platform Dashboard")</f>
        <v>0</v>
      </c>
      <c r="F26" s="28" t="n">
        <f aca="false">SUM(B26:E26)</f>
        <v>36</v>
      </c>
    </row>
    <row r="27" customFormat="false" ht="15" hidden="false" customHeight="false" outlineLevel="0" collapsed="false">
      <c r="A27" s="29" t="s">
        <v>314</v>
      </c>
      <c r="B27" s="30" t="n">
        <f aca="false">SUMIFS(Backlog!$N$2:$N$120,Backlog!$Q$2:$Q$120,"SP-01",Backlog!$C$2:$C$120,"Platform Engineering")</f>
        <v>0</v>
      </c>
      <c r="C27" s="30" t="n">
        <f aca="false">SUMIFS(Backlog!$N$2:$N$120,Backlog!$Q$2:$Q$120,"SP-01",Backlog!$C$2:$C$120,"Mobile")</f>
        <v>43</v>
      </c>
      <c r="D27" s="30" t="n">
        <f aca="false">SUMIFS(Backlog!$N$2:$N$120,Backlog!$Q$2:$Q$120,"SP-01",Backlog!$C$2:$C$120,"Ops Web")</f>
        <v>31</v>
      </c>
      <c r="E27" s="30" t="n">
        <f aca="false">SUMIFS(Backlog!$N$2:$N$120,Backlog!$Q$2:$Q$120,"SP-01",Backlog!$C$2:$C$120,"Platform Dashboard")</f>
        <v>49</v>
      </c>
      <c r="F27" s="31" t="n">
        <f aca="false">SUM(B27:E27)</f>
        <v>123</v>
      </c>
    </row>
    <row r="28" customFormat="false" ht="15" hidden="false" customHeight="false" outlineLevel="0" collapsed="false">
      <c r="A28" s="26" t="s">
        <v>706</v>
      </c>
      <c r="B28" s="27" t="n">
        <f aca="false">SUMIFS(Backlog!$N$2:$N$120,Backlog!$Q$2:$Q$120,"SP-02",Backlog!$C$2:$C$120,"Platform Engineering")</f>
        <v>0</v>
      </c>
      <c r="C28" s="27" t="n">
        <f aca="false">SUMIFS(Backlog!$N$2:$N$120,Backlog!$Q$2:$Q$120,"SP-02",Backlog!$C$2:$C$120,"Mobile")</f>
        <v>0</v>
      </c>
      <c r="D28" s="27" t="n">
        <f aca="false">SUMIFS(Backlog!$N$2:$N$120,Backlog!$Q$2:$Q$120,"SP-02",Backlog!$C$2:$C$120,"Ops Web")</f>
        <v>0</v>
      </c>
      <c r="E28" s="27" t="n">
        <f aca="false">SUMIFS(Backlog!$N$2:$N$120,Backlog!$Q$2:$Q$120,"SP-02",Backlog!$C$2:$C$120,"Platform Dashboard")</f>
        <v>42</v>
      </c>
      <c r="F28" s="28" t="n">
        <f aca="false">SUM(B28:E28)</f>
        <v>42</v>
      </c>
    </row>
    <row r="29" customFormat="false" ht="15" hidden="false" customHeight="false" outlineLevel="0" collapsed="false">
      <c r="A29" s="29" t="s">
        <v>353</v>
      </c>
      <c r="B29" s="30" t="n">
        <f aca="false">SUMIFS(Backlog!$N$2:$N$120,Backlog!$Q$2:$Q$120,"SP-03",Backlog!$C$2:$C$120,"Platform Engineering")</f>
        <v>0</v>
      </c>
      <c r="C29" s="30" t="n">
        <f aca="false">SUMIFS(Backlog!$N$2:$N$120,Backlog!$Q$2:$Q$120,"SP-03",Backlog!$C$2:$C$120,"Mobile")</f>
        <v>13</v>
      </c>
      <c r="D29" s="30" t="n">
        <f aca="false">SUMIFS(Backlog!$N$2:$N$120,Backlog!$Q$2:$Q$120,"SP-03",Backlog!$C$2:$C$120,"Ops Web")</f>
        <v>0</v>
      </c>
      <c r="E29" s="30" t="n">
        <f aca="false">SUMIFS(Backlog!$N$2:$N$120,Backlog!$Q$2:$Q$120,"SP-03",Backlog!$C$2:$C$120,"Platform Dashboard")</f>
        <v>33</v>
      </c>
      <c r="F29" s="31" t="n">
        <f aca="false">SUM(B29:E29)</f>
        <v>46</v>
      </c>
    </row>
    <row r="30" customFormat="false" ht="15" hidden="false" customHeight="false" outlineLevel="0" collapsed="false">
      <c r="A30" s="26" t="s">
        <v>448</v>
      </c>
      <c r="B30" s="27" t="n">
        <f aca="false">SUMIFS(Backlog!$N$2:$N$120,Backlog!$Q$2:$Q$120,"SP-04",Backlog!$C$2:$C$120,"Platform Engineering")</f>
        <v>0</v>
      </c>
      <c r="C30" s="27" t="n">
        <f aca="false">SUMIFS(Backlog!$N$2:$N$120,Backlog!$Q$2:$Q$120,"SP-04",Backlog!$C$2:$C$120,"Mobile")</f>
        <v>9</v>
      </c>
      <c r="D30" s="27" t="n">
        <f aca="false">SUMIFS(Backlog!$N$2:$N$120,Backlog!$Q$2:$Q$120,"SP-04",Backlog!$C$2:$C$120,"Ops Web")</f>
        <v>0</v>
      </c>
      <c r="E30" s="27" t="n">
        <f aca="false">SUMIFS(Backlog!$N$2:$N$120,Backlog!$Q$2:$Q$120,"SP-04",Backlog!$C$2:$C$120,"Platform Dashboard")</f>
        <v>62</v>
      </c>
      <c r="F30" s="28" t="n">
        <f aca="false">SUM(B30:E30)</f>
        <v>71</v>
      </c>
    </row>
    <row r="31" customFormat="false" ht="15" hidden="false" customHeight="false" outlineLevel="0" collapsed="false">
      <c r="A31" s="32" t="s">
        <v>1009</v>
      </c>
      <c r="B31" s="33" t="n">
        <f aca="false">SUM(B26:B30)</f>
        <v>36</v>
      </c>
      <c r="C31" s="33" t="n">
        <f aca="false">SUM(C26:C30)</f>
        <v>65</v>
      </c>
      <c r="D31" s="33" t="n">
        <f aca="false">SUM(D26:D30)</f>
        <v>31</v>
      </c>
      <c r="E31" s="33" t="n">
        <f aca="false">SUM(E26:E30)</f>
        <v>186</v>
      </c>
      <c r="F31" s="33" t="n">
        <f aca="false">SUM(F26:F30)</f>
        <v>318</v>
      </c>
    </row>
    <row r="34" customFormat="false" ht="15" hidden="false" customHeight="false" outlineLevel="0" collapsed="false">
      <c r="A34" s="23" t="s">
        <v>1012</v>
      </c>
    </row>
    <row r="35" customFormat="false" ht="27.75" hidden="false" customHeight="true" outlineLevel="0" collapsed="false">
      <c r="A35" s="0" t="s">
        <v>1013</v>
      </c>
      <c r="B35" s="34" t="s">
        <v>1014</v>
      </c>
      <c r="C35" s="34"/>
      <c r="D35" s="34"/>
      <c r="E35" s="34"/>
      <c r="F35" s="34"/>
      <c r="G35" s="34"/>
    </row>
    <row r="36" customFormat="false" ht="27.75" hidden="false" customHeight="true" outlineLevel="0" collapsed="false">
      <c r="A36" s="0" t="s">
        <v>1013</v>
      </c>
      <c r="B36" s="34" t="s">
        <v>1015</v>
      </c>
      <c r="C36" s="34"/>
      <c r="D36" s="34"/>
      <c r="E36" s="34"/>
      <c r="F36" s="34"/>
      <c r="G36" s="34"/>
    </row>
    <row r="37" customFormat="false" ht="13.5" hidden="false" customHeight="true" outlineLevel="0" collapsed="false">
      <c r="A37" s="0" t="s">
        <v>1013</v>
      </c>
      <c r="B37" s="34" t="s">
        <v>1016</v>
      </c>
      <c r="C37" s="34"/>
      <c r="D37" s="34"/>
      <c r="E37" s="34"/>
      <c r="F37" s="34"/>
      <c r="G37" s="34"/>
    </row>
  </sheetData>
  <mergeCells count="4">
    <mergeCell ref="A2:G2"/>
    <mergeCell ref="B35:G35"/>
    <mergeCell ref="B36:G36"/>
    <mergeCell ref="B37:G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19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18"/>
    <col collapsed="false" customWidth="true" hidden="false" outlineLevel="0" max="5" min="4" style="0" width="13"/>
    <col collapsed="false" customWidth="true" hidden="false" outlineLevel="0" max="6" min="6" style="0" width="40"/>
    <col collapsed="false" customWidth="true" hidden="false" outlineLevel="0" max="7" min="7" style="0" width="18"/>
    <col collapsed="false" customWidth="true" hidden="false" outlineLevel="0" max="8" min="8" style="0" width="13"/>
    <col collapsed="false" customWidth="true" hidden="false" outlineLevel="0" max="9" min="9" style="0" width="14"/>
  </cols>
  <sheetData>
    <row r="1" customFormat="false" ht="30" hidden="false" customHeight="true" outlineLevel="0" collapsed="false">
      <c r="A1" s="10" t="s">
        <v>1017</v>
      </c>
      <c r="B1" s="10" t="s">
        <v>1018</v>
      </c>
      <c r="C1" s="10" t="s">
        <v>1019</v>
      </c>
      <c r="D1" s="10" t="s">
        <v>1020</v>
      </c>
      <c r="E1" s="10" t="s">
        <v>1021</v>
      </c>
      <c r="F1" s="10" t="s">
        <v>1022</v>
      </c>
      <c r="G1" s="10" t="s">
        <v>1023</v>
      </c>
      <c r="H1" s="10" t="s">
        <v>1024</v>
      </c>
      <c r="I1" s="10" t="s">
        <v>1025</v>
      </c>
    </row>
    <row r="2" customFormat="false" ht="17.25" hidden="false" customHeight="true" outlineLevel="0" collapsed="false">
      <c r="A2" s="11" t="s">
        <v>592</v>
      </c>
      <c r="B2" s="12" t="s">
        <v>593</v>
      </c>
      <c r="C2" s="12" t="s">
        <v>112</v>
      </c>
      <c r="D2" s="13" t="s">
        <v>244</v>
      </c>
      <c r="E2" s="12" t="s">
        <v>597</v>
      </c>
      <c r="F2" s="12" t="s">
        <v>598</v>
      </c>
      <c r="G2" s="12" t="s">
        <v>112</v>
      </c>
      <c r="H2" s="13" t="s">
        <v>261</v>
      </c>
      <c r="I2" s="13" t="s">
        <v>1026</v>
      </c>
    </row>
    <row r="3" customFormat="false" ht="17.25" hidden="false" customHeight="true" outlineLevel="0" collapsed="false">
      <c r="A3" s="14" t="s">
        <v>592</v>
      </c>
      <c r="B3" s="15" t="s">
        <v>593</v>
      </c>
      <c r="C3" s="15" t="s">
        <v>112</v>
      </c>
      <c r="D3" s="16" t="s">
        <v>244</v>
      </c>
      <c r="E3" s="15" t="s">
        <v>641</v>
      </c>
      <c r="F3" s="15" t="s">
        <v>642</v>
      </c>
      <c r="G3" s="15" t="s">
        <v>112</v>
      </c>
      <c r="H3" s="16" t="s">
        <v>261</v>
      </c>
      <c r="I3" s="16" t="s">
        <v>1026</v>
      </c>
    </row>
    <row r="4" customFormat="false" ht="17.25" hidden="false" customHeight="true" outlineLevel="0" collapsed="false">
      <c r="A4" s="11" t="s">
        <v>603</v>
      </c>
      <c r="B4" s="12" t="s">
        <v>604</v>
      </c>
      <c r="C4" s="12" t="s">
        <v>112</v>
      </c>
      <c r="D4" s="13" t="s">
        <v>261</v>
      </c>
      <c r="E4" s="12" t="s">
        <v>628</v>
      </c>
      <c r="F4" s="12" t="s">
        <v>629</v>
      </c>
      <c r="G4" s="12" t="s">
        <v>112</v>
      </c>
      <c r="H4" s="13" t="s">
        <v>382</v>
      </c>
      <c r="I4" s="13" t="s">
        <v>1026</v>
      </c>
    </row>
    <row r="5" customFormat="false" ht="17.25" hidden="false" customHeight="true" outlineLevel="0" collapsed="false">
      <c r="A5" s="14" t="s">
        <v>603</v>
      </c>
      <c r="B5" s="15" t="s">
        <v>604</v>
      </c>
      <c r="C5" s="15" t="s">
        <v>112</v>
      </c>
      <c r="D5" s="16" t="s">
        <v>261</v>
      </c>
      <c r="E5" s="15" t="s">
        <v>634</v>
      </c>
      <c r="F5" s="15" t="s">
        <v>635</v>
      </c>
      <c r="G5" s="15" t="s">
        <v>112</v>
      </c>
      <c r="H5" s="16" t="s">
        <v>382</v>
      </c>
      <c r="I5" s="16" t="s">
        <v>1026</v>
      </c>
    </row>
    <row r="6" customFormat="false" ht="17.25" hidden="false" customHeight="true" outlineLevel="0" collapsed="false">
      <c r="A6" s="11" t="s">
        <v>603</v>
      </c>
      <c r="B6" s="12" t="s">
        <v>604</v>
      </c>
      <c r="C6" s="12" t="s">
        <v>112</v>
      </c>
      <c r="D6" s="13" t="s">
        <v>261</v>
      </c>
      <c r="E6" s="12" t="s">
        <v>682</v>
      </c>
      <c r="F6" s="12" t="s">
        <v>683</v>
      </c>
      <c r="G6" s="12" t="s">
        <v>112</v>
      </c>
      <c r="H6" s="13" t="s">
        <v>382</v>
      </c>
      <c r="I6" s="13" t="s">
        <v>1026</v>
      </c>
    </row>
    <row r="7" customFormat="false" ht="17.25" hidden="false" customHeight="true" outlineLevel="0" collapsed="false">
      <c r="A7" s="14" t="s">
        <v>603</v>
      </c>
      <c r="B7" s="15" t="s">
        <v>604</v>
      </c>
      <c r="C7" s="15" t="s">
        <v>112</v>
      </c>
      <c r="D7" s="16" t="s">
        <v>261</v>
      </c>
      <c r="E7" s="15" t="s">
        <v>694</v>
      </c>
      <c r="F7" s="15" t="s">
        <v>695</v>
      </c>
      <c r="G7" s="15" t="s">
        <v>112</v>
      </c>
      <c r="H7" s="16" t="s">
        <v>382</v>
      </c>
      <c r="I7" s="16" t="s">
        <v>1026</v>
      </c>
    </row>
    <row r="8" customFormat="false" ht="17.25" hidden="false" customHeight="true" outlineLevel="0" collapsed="false">
      <c r="A8" s="11" t="s">
        <v>603</v>
      </c>
      <c r="B8" s="12" t="s">
        <v>604</v>
      </c>
      <c r="C8" s="12" t="s">
        <v>112</v>
      </c>
      <c r="D8" s="13" t="s">
        <v>261</v>
      </c>
      <c r="E8" s="12" t="s">
        <v>700</v>
      </c>
      <c r="F8" s="12" t="s">
        <v>701</v>
      </c>
      <c r="G8" s="12" t="s">
        <v>112</v>
      </c>
      <c r="H8" s="13" t="s">
        <v>382</v>
      </c>
      <c r="I8" s="13" t="s">
        <v>1026</v>
      </c>
    </row>
    <row r="9" customFormat="false" ht="17.25" hidden="false" customHeight="true" outlineLevel="0" collapsed="false">
      <c r="A9" s="14" t="s">
        <v>603</v>
      </c>
      <c r="B9" s="15" t="s">
        <v>604</v>
      </c>
      <c r="C9" s="15" t="s">
        <v>112</v>
      </c>
      <c r="D9" s="16" t="s">
        <v>261</v>
      </c>
      <c r="E9" s="15" t="s">
        <v>713</v>
      </c>
      <c r="F9" s="15" t="s">
        <v>714</v>
      </c>
      <c r="G9" s="15" t="s">
        <v>112</v>
      </c>
      <c r="H9" s="16" t="s">
        <v>382</v>
      </c>
      <c r="I9" s="16" t="s">
        <v>1026</v>
      </c>
    </row>
    <row r="10" customFormat="false" ht="17.25" hidden="false" customHeight="true" outlineLevel="0" collapsed="false">
      <c r="A10" s="11" t="s">
        <v>603</v>
      </c>
      <c r="B10" s="12" t="s">
        <v>604</v>
      </c>
      <c r="C10" s="12" t="s">
        <v>112</v>
      </c>
      <c r="D10" s="13" t="s">
        <v>261</v>
      </c>
      <c r="E10" s="12" t="s">
        <v>766</v>
      </c>
      <c r="F10" s="12" t="s">
        <v>767</v>
      </c>
      <c r="G10" s="12" t="s">
        <v>112</v>
      </c>
      <c r="H10" s="13" t="s">
        <v>352</v>
      </c>
      <c r="I10" s="13" t="s">
        <v>1026</v>
      </c>
    </row>
    <row r="11" customFormat="false" ht="17.25" hidden="false" customHeight="true" outlineLevel="0" collapsed="false">
      <c r="A11" s="14" t="s">
        <v>603</v>
      </c>
      <c r="B11" s="15" t="s">
        <v>604</v>
      </c>
      <c r="C11" s="15" t="s">
        <v>112</v>
      </c>
      <c r="D11" s="16" t="s">
        <v>261</v>
      </c>
      <c r="E11" s="15" t="s">
        <v>780</v>
      </c>
      <c r="F11" s="15" t="s">
        <v>781</v>
      </c>
      <c r="G11" s="15" t="s">
        <v>112</v>
      </c>
      <c r="H11" s="16" t="s">
        <v>352</v>
      </c>
      <c r="I11" s="16" t="s">
        <v>1026</v>
      </c>
    </row>
    <row r="12" customFormat="false" ht="17.25" hidden="false" customHeight="true" outlineLevel="0" collapsed="false">
      <c r="A12" s="11" t="s">
        <v>603</v>
      </c>
      <c r="B12" s="12" t="s">
        <v>604</v>
      </c>
      <c r="C12" s="12" t="s">
        <v>112</v>
      </c>
      <c r="D12" s="13" t="s">
        <v>261</v>
      </c>
      <c r="E12" s="12" t="s">
        <v>794</v>
      </c>
      <c r="F12" s="12" t="s">
        <v>795</v>
      </c>
      <c r="G12" s="12" t="s">
        <v>112</v>
      </c>
      <c r="H12" s="13" t="s">
        <v>352</v>
      </c>
      <c r="I12" s="13" t="s">
        <v>1026</v>
      </c>
    </row>
    <row r="13" customFormat="false" ht="17.25" hidden="false" customHeight="true" outlineLevel="0" collapsed="false">
      <c r="A13" s="14" t="s">
        <v>603</v>
      </c>
      <c r="B13" s="15" t="s">
        <v>604</v>
      </c>
      <c r="C13" s="15" t="s">
        <v>112</v>
      </c>
      <c r="D13" s="16" t="s">
        <v>261</v>
      </c>
      <c r="E13" s="15" t="s">
        <v>802</v>
      </c>
      <c r="F13" s="15" t="s">
        <v>803</v>
      </c>
      <c r="G13" s="15" t="s">
        <v>112</v>
      </c>
      <c r="H13" s="16" t="s">
        <v>352</v>
      </c>
      <c r="I13" s="16" t="s">
        <v>1026</v>
      </c>
    </row>
    <row r="14" customFormat="false" ht="17.25" hidden="false" customHeight="true" outlineLevel="0" collapsed="false">
      <c r="A14" s="11" t="s">
        <v>603</v>
      </c>
      <c r="B14" s="12" t="s">
        <v>604</v>
      </c>
      <c r="C14" s="12" t="s">
        <v>112</v>
      </c>
      <c r="D14" s="13" t="s">
        <v>261</v>
      </c>
      <c r="E14" s="12" t="s">
        <v>868</v>
      </c>
      <c r="F14" s="12" t="s">
        <v>869</v>
      </c>
      <c r="G14" s="12" t="s">
        <v>112</v>
      </c>
      <c r="H14" s="13" t="s">
        <v>447</v>
      </c>
      <c r="I14" s="13" t="s">
        <v>1026</v>
      </c>
    </row>
    <row r="15" customFormat="false" ht="17.25" hidden="false" customHeight="true" outlineLevel="0" collapsed="false">
      <c r="A15" s="14" t="s">
        <v>603</v>
      </c>
      <c r="B15" s="15" t="s">
        <v>604</v>
      </c>
      <c r="C15" s="15" t="s">
        <v>112</v>
      </c>
      <c r="D15" s="16" t="s">
        <v>261</v>
      </c>
      <c r="E15" s="15" t="s">
        <v>998</v>
      </c>
      <c r="F15" s="15" t="s">
        <v>999</v>
      </c>
      <c r="G15" s="15" t="s">
        <v>112</v>
      </c>
      <c r="H15" s="16" t="s">
        <v>447</v>
      </c>
      <c r="I15" s="16" t="s">
        <v>1026</v>
      </c>
    </row>
    <row r="16" customFormat="false" ht="28.5" hidden="false" customHeight="true" outlineLevel="0" collapsed="false">
      <c r="A16" s="11" t="s">
        <v>609</v>
      </c>
      <c r="B16" s="12" t="s">
        <v>610</v>
      </c>
      <c r="C16" s="12" t="s">
        <v>112</v>
      </c>
      <c r="D16" s="13" t="s">
        <v>261</v>
      </c>
      <c r="E16" s="12" t="s">
        <v>616</v>
      </c>
      <c r="F16" s="12" t="s">
        <v>617</v>
      </c>
      <c r="G16" s="12" t="s">
        <v>112</v>
      </c>
      <c r="H16" s="13" t="s">
        <v>382</v>
      </c>
      <c r="I16" s="13" t="s">
        <v>1026</v>
      </c>
    </row>
    <row r="17" customFormat="false" ht="28.5" hidden="false" customHeight="true" outlineLevel="0" collapsed="false">
      <c r="A17" s="14" t="s">
        <v>609</v>
      </c>
      <c r="B17" s="15" t="s">
        <v>610</v>
      </c>
      <c r="C17" s="15" t="s">
        <v>112</v>
      </c>
      <c r="D17" s="16" t="s">
        <v>261</v>
      </c>
      <c r="E17" s="15" t="s">
        <v>622</v>
      </c>
      <c r="F17" s="15" t="s">
        <v>623</v>
      </c>
      <c r="G17" s="15" t="s">
        <v>112</v>
      </c>
      <c r="H17" s="16" t="s">
        <v>382</v>
      </c>
      <c r="I17" s="16" t="s">
        <v>1026</v>
      </c>
    </row>
    <row r="18" customFormat="false" ht="28.5" hidden="false" customHeight="true" outlineLevel="0" collapsed="false">
      <c r="A18" s="11" t="s">
        <v>609</v>
      </c>
      <c r="B18" s="12" t="s">
        <v>610</v>
      </c>
      <c r="C18" s="12" t="s">
        <v>112</v>
      </c>
      <c r="D18" s="13" t="s">
        <v>261</v>
      </c>
      <c r="E18" s="12" t="s">
        <v>676</v>
      </c>
      <c r="F18" s="12" t="s">
        <v>677</v>
      </c>
      <c r="G18" s="12" t="s">
        <v>112</v>
      </c>
      <c r="H18" s="13" t="s">
        <v>382</v>
      </c>
      <c r="I18" s="13" t="s">
        <v>1026</v>
      </c>
    </row>
    <row r="19" customFormat="false" ht="28.5" hidden="false" customHeight="true" outlineLevel="0" collapsed="false">
      <c r="A19" s="14" t="s">
        <v>609</v>
      </c>
      <c r="B19" s="15" t="s">
        <v>610</v>
      </c>
      <c r="C19" s="15" t="s">
        <v>112</v>
      </c>
      <c r="D19" s="16" t="s">
        <v>261</v>
      </c>
      <c r="E19" s="15" t="s">
        <v>940</v>
      </c>
      <c r="F19" s="15" t="s">
        <v>941</v>
      </c>
      <c r="G19" s="15" t="s">
        <v>112</v>
      </c>
      <c r="H19" s="16" t="s">
        <v>447</v>
      </c>
      <c r="I19" s="16" t="s">
        <v>1026</v>
      </c>
    </row>
    <row r="20" customFormat="false" ht="28.5" hidden="false" customHeight="true" outlineLevel="0" collapsed="false">
      <c r="A20" s="11" t="s">
        <v>609</v>
      </c>
      <c r="B20" s="12" t="s">
        <v>610</v>
      </c>
      <c r="C20" s="12" t="s">
        <v>112</v>
      </c>
      <c r="D20" s="13" t="s">
        <v>261</v>
      </c>
      <c r="E20" s="12" t="s">
        <v>984</v>
      </c>
      <c r="F20" s="12" t="s">
        <v>985</v>
      </c>
      <c r="G20" s="12" t="s">
        <v>112</v>
      </c>
      <c r="H20" s="13" t="s">
        <v>447</v>
      </c>
      <c r="I20" s="13" t="s">
        <v>1026</v>
      </c>
    </row>
    <row r="21" customFormat="false" ht="28.5" hidden="false" customHeight="true" outlineLevel="0" collapsed="false">
      <c r="A21" s="14" t="s">
        <v>609</v>
      </c>
      <c r="B21" s="15" t="s">
        <v>610</v>
      </c>
      <c r="C21" s="15" t="s">
        <v>112</v>
      </c>
      <c r="D21" s="16" t="s">
        <v>261</v>
      </c>
      <c r="E21" s="15" t="s">
        <v>991</v>
      </c>
      <c r="F21" s="15" t="s">
        <v>992</v>
      </c>
      <c r="G21" s="15" t="s">
        <v>112</v>
      </c>
      <c r="H21" s="16" t="s">
        <v>447</v>
      </c>
      <c r="I21" s="16" t="s">
        <v>1026</v>
      </c>
    </row>
    <row r="22" customFormat="false" ht="17.25" hidden="false" customHeight="true" outlineLevel="0" collapsed="false">
      <c r="A22" s="11" t="s">
        <v>616</v>
      </c>
      <c r="B22" s="12" t="s">
        <v>617</v>
      </c>
      <c r="C22" s="12" t="s">
        <v>112</v>
      </c>
      <c r="D22" s="13" t="s">
        <v>382</v>
      </c>
      <c r="E22" s="12" t="s">
        <v>720</v>
      </c>
      <c r="F22" s="12" t="s">
        <v>721</v>
      </c>
      <c r="G22" s="12" t="s">
        <v>112</v>
      </c>
      <c r="H22" s="13" t="s">
        <v>382</v>
      </c>
      <c r="I22" s="13" t="s">
        <v>1026</v>
      </c>
    </row>
    <row r="23" customFormat="false" ht="17.25" hidden="false" customHeight="true" outlineLevel="0" collapsed="false">
      <c r="A23" s="14" t="s">
        <v>616</v>
      </c>
      <c r="B23" s="15" t="s">
        <v>617</v>
      </c>
      <c r="C23" s="15" t="s">
        <v>112</v>
      </c>
      <c r="D23" s="16" t="s">
        <v>382</v>
      </c>
      <c r="E23" s="15" t="s">
        <v>758</v>
      </c>
      <c r="F23" s="15" t="s">
        <v>759</v>
      </c>
      <c r="G23" s="15" t="s">
        <v>112</v>
      </c>
      <c r="H23" s="16" t="s">
        <v>352</v>
      </c>
      <c r="I23" s="16" t="s">
        <v>1026</v>
      </c>
    </row>
    <row r="24" customFormat="false" ht="17.25" hidden="false" customHeight="true" outlineLevel="0" collapsed="false">
      <c r="A24" s="11" t="s">
        <v>616</v>
      </c>
      <c r="B24" s="12" t="s">
        <v>617</v>
      </c>
      <c r="C24" s="12" t="s">
        <v>112</v>
      </c>
      <c r="D24" s="13" t="s">
        <v>382</v>
      </c>
      <c r="E24" s="12" t="s">
        <v>794</v>
      </c>
      <c r="F24" s="12" t="s">
        <v>795</v>
      </c>
      <c r="G24" s="12" t="s">
        <v>112</v>
      </c>
      <c r="H24" s="13" t="s">
        <v>352</v>
      </c>
      <c r="I24" s="13" t="s">
        <v>1026</v>
      </c>
    </row>
    <row r="25" customFormat="false" ht="17.25" hidden="false" customHeight="true" outlineLevel="0" collapsed="false">
      <c r="A25" s="14" t="s">
        <v>616</v>
      </c>
      <c r="B25" s="15" t="s">
        <v>617</v>
      </c>
      <c r="C25" s="15" t="s">
        <v>112</v>
      </c>
      <c r="D25" s="16" t="s">
        <v>382</v>
      </c>
      <c r="E25" s="15" t="s">
        <v>802</v>
      </c>
      <c r="F25" s="15" t="s">
        <v>803</v>
      </c>
      <c r="G25" s="15" t="s">
        <v>112</v>
      </c>
      <c r="H25" s="16" t="s">
        <v>352</v>
      </c>
      <c r="I25" s="16" t="s">
        <v>1026</v>
      </c>
    </row>
    <row r="26" customFormat="false" ht="17.25" hidden="false" customHeight="true" outlineLevel="0" collapsed="false">
      <c r="A26" s="11" t="s">
        <v>616</v>
      </c>
      <c r="B26" s="12" t="s">
        <v>617</v>
      </c>
      <c r="C26" s="12" t="s">
        <v>112</v>
      </c>
      <c r="D26" s="13" t="s">
        <v>382</v>
      </c>
      <c r="E26" s="12" t="s">
        <v>888</v>
      </c>
      <c r="F26" s="12" t="s">
        <v>889</v>
      </c>
      <c r="G26" s="12" t="s">
        <v>112</v>
      </c>
      <c r="H26" s="13" t="s">
        <v>447</v>
      </c>
      <c r="I26" s="13" t="s">
        <v>1026</v>
      </c>
    </row>
    <row r="27" customFormat="false" ht="17.25" hidden="false" customHeight="true" outlineLevel="0" collapsed="false">
      <c r="A27" s="14" t="s">
        <v>616</v>
      </c>
      <c r="B27" s="15" t="s">
        <v>617</v>
      </c>
      <c r="C27" s="15" t="s">
        <v>112</v>
      </c>
      <c r="D27" s="16" t="s">
        <v>382</v>
      </c>
      <c r="E27" s="15" t="s">
        <v>929</v>
      </c>
      <c r="F27" s="15" t="s">
        <v>930</v>
      </c>
      <c r="G27" s="15" t="s">
        <v>112</v>
      </c>
      <c r="H27" s="16" t="s">
        <v>447</v>
      </c>
      <c r="I27" s="16" t="s">
        <v>1026</v>
      </c>
    </row>
    <row r="28" customFormat="false" ht="17.25" hidden="false" customHeight="true" outlineLevel="0" collapsed="false">
      <c r="A28" s="11" t="s">
        <v>616</v>
      </c>
      <c r="B28" s="12" t="s">
        <v>617</v>
      </c>
      <c r="C28" s="12" t="s">
        <v>112</v>
      </c>
      <c r="D28" s="13" t="s">
        <v>382</v>
      </c>
      <c r="E28" s="12" t="s">
        <v>947</v>
      </c>
      <c r="F28" s="12" t="s">
        <v>948</v>
      </c>
      <c r="G28" s="12" t="s">
        <v>112</v>
      </c>
      <c r="H28" s="13" t="s">
        <v>447</v>
      </c>
      <c r="I28" s="13" t="s">
        <v>1026</v>
      </c>
    </row>
    <row r="29" customFormat="false" ht="28.5" hidden="false" customHeight="true" outlineLevel="0" collapsed="false">
      <c r="A29" s="14" t="s">
        <v>616</v>
      </c>
      <c r="B29" s="15" t="s">
        <v>617</v>
      </c>
      <c r="C29" s="15" t="s">
        <v>112</v>
      </c>
      <c r="D29" s="16" t="s">
        <v>382</v>
      </c>
      <c r="E29" s="15" t="s">
        <v>970</v>
      </c>
      <c r="F29" s="15" t="s">
        <v>971</v>
      </c>
      <c r="G29" s="15" t="s">
        <v>112</v>
      </c>
      <c r="H29" s="16" t="s">
        <v>447</v>
      </c>
      <c r="I29" s="16" t="s">
        <v>1026</v>
      </c>
    </row>
    <row r="30" customFormat="false" ht="17.25" hidden="false" customHeight="true" outlineLevel="0" collapsed="false">
      <c r="A30" s="11" t="s">
        <v>622</v>
      </c>
      <c r="B30" s="12" t="s">
        <v>623</v>
      </c>
      <c r="C30" s="12" t="s">
        <v>112</v>
      </c>
      <c r="D30" s="13" t="s">
        <v>382</v>
      </c>
      <c r="E30" s="12" t="s">
        <v>727</v>
      </c>
      <c r="F30" s="12" t="s">
        <v>728</v>
      </c>
      <c r="G30" s="12" t="s">
        <v>112</v>
      </c>
      <c r="H30" s="13" t="s">
        <v>382</v>
      </c>
      <c r="I30" s="13" t="s">
        <v>1026</v>
      </c>
    </row>
    <row r="31" customFormat="false" ht="17.25" hidden="false" customHeight="true" outlineLevel="0" collapsed="false">
      <c r="A31" s="14" t="s">
        <v>622</v>
      </c>
      <c r="B31" s="15" t="s">
        <v>623</v>
      </c>
      <c r="C31" s="15" t="s">
        <v>112</v>
      </c>
      <c r="D31" s="16" t="s">
        <v>382</v>
      </c>
      <c r="E31" s="15" t="s">
        <v>758</v>
      </c>
      <c r="F31" s="15" t="s">
        <v>759</v>
      </c>
      <c r="G31" s="15" t="s">
        <v>112</v>
      </c>
      <c r="H31" s="16" t="s">
        <v>352</v>
      </c>
      <c r="I31" s="16" t="s">
        <v>1026</v>
      </c>
    </row>
    <row r="32" customFormat="false" ht="17.25" hidden="false" customHeight="true" outlineLevel="0" collapsed="false">
      <c r="A32" s="11" t="s">
        <v>622</v>
      </c>
      <c r="B32" s="12" t="s">
        <v>623</v>
      </c>
      <c r="C32" s="12" t="s">
        <v>112</v>
      </c>
      <c r="D32" s="13" t="s">
        <v>382</v>
      </c>
      <c r="E32" s="12" t="s">
        <v>774</v>
      </c>
      <c r="F32" s="12" t="s">
        <v>775</v>
      </c>
      <c r="G32" s="12" t="s">
        <v>112</v>
      </c>
      <c r="H32" s="13" t="s">
        <v>352</v>
      </c>
      <c r="I32" s="13" t="s">
        <v>1026</v>
      </c>
    </row>
    <row r="33" customFormat="false" ht="17.25" hidden="false" customHeight="true" outlineLevel="0" collapsed="false">
      <c r="A33" s="14" t="s">
        <v>622</v>
      </c>
      <c r="B33" s="15" t="s">
        <v>623</v>
      </c>
      <c r="C33" s="15" t="s">
        <v>112</v>
      </c>
      <c r="D33" s="16" t="s">
        <v>382</v>
      </c>
      <c r="E33" s="15" t="s">
        <v>802</v>
      </c>
      <c r="F33" s="15" t="s">
        <v>803</v>
      </c>
      <c r="G33" s="15" t="s">
        <v>112</v>
      </c>
      <c r="H33" s="16" t="s">
        <v>352</v>
      </c>
      <c r="I33" s="16" t="s">
        <v>1026</v>
      </c>
    </row>
    <row r="34" customFormat="false" ht="28.5" hidden="false" customHeight="true" outlineLevel="0" collapsed="false">
      <c r="A34" s="11" t="s">
        <v>622</v>
      </c>
      <c r="B34" s="12" t="s">
        <v>623</v>
      </c>
      <c r="C34" s="12" t="s">
        <v>112</v>
      </c>
      <c r="D34" s="13" t="s">
        <v>382</v>
      </c>
      <c r="E34" s="12" t="s">
        <v>977</v>
      </c>
      <c r="F34" s="12" t="s">
        <v>978</v>
      </c>
      <c r="G34" s="12" t="s">
        <v>112</v>
      </c>
      <c r="H34" s="13" t="s">
        <v>447</v>
      </c>
      <c r="I34" s="13" t="s">
        <v>1026</v>
      </c>
    </row>
    <row r="35" customFormat="false" ht="17.25" hidden="false" customHeight="true" outlineLevel="0" collapsed="false">
      <c r="A35" s="14" t="s">
        <v>622</v>
      </c>
      <c r="B35" s="15" t="s">
        <v>623</v>
      </c>
      <c r="C35" s="15" t="s">
        <v>112</v>
      </c>
      <c r="D35" s="16" t="s">
        <v>382</v>
      </c>
      <c r="E35" s="15" t="s">
        <v>991</v>
      </c>
      <c r="F35" s="15" t="s">
        <v>992</v>
      </c>
      <c r="G35" s="15" t="s">
        <v>112</v>
      </c>
      <c r="H35" s="16" t="s">
        <v>447</v>
      </c>
      <c r="I35" s="16" t="s">
        <v>1026</v>
      </c>
    </row>
    <row r="36" customFormat="false" ht="17.25" hidden="false" customHeight="true" outlineLevel="0" collapsed="false">
      <c r="A36" s="11" t="s">
        <v>628</v>
      </c>
      <c r="B36" s="12" t="s">
        <v>629</v>
      </c>
      <c r="C36" s="12" t="s">
        <v>112</v>
      </c>
      <c r="D36" s="13" t="s">
        <v>382</v>
      </c>
      <c r="E36" s="12" t="s">
        <v>634</v>
      </c>
      <c r="F36" s="12" t="s">
        <v>635</v>
      </c>
      <c r="G36" s="12" t="s">
        <v>112</v>
      </c>
      <c r="H36" s="13" t="s">
        <v>382</v>
      </c>
      <c r="I36" s="13" t="s">
        <v>1026</v>
      </c>
    </row>
    <row r="37" customFormat="false" ht="17.25" hidden="false" customHeight="true" outlineLevel="0" collapsed="false">
      <c r="A37" s="14" t="s">
        <v>628</v>
      </c>
      <c r="B37" s="15" t="s">
        <v>629</v>
      </c>
      <c r="C37" s="15" t="s">
        <v>112</v>
      </c>
      <c r="D37" s="16" t="s">
        <v>382</v>
      </c>
      <c r="E37" s="15" t="s">
        <v>787</v>
      </c>
      <c r="F37" s="15" t="s">
        <v>788</v>
      </c>
      <c r="G37" s="15" t="s">
        <v>112</v>
      </c>
      <c r="H37" s="16" t="s">
        <v>352</v>
      </c>
      <c r="I37" s="16" t="s">
        <v>1026</v>
      </c>
    </row>
    <row r="38" customFormat="false" ht="17.25" hidden="false" customHeight="true" outlineLevel="0" collapsed="false">
      <c r="A38" s="11" t="s">
        <v>628</v>
      </c>
      <c r="B38" s="12" t="s">
        <v>629</v>
      </c>
      <c r="C38" s="12" t="s">
        <v>112</v>
      </c>
      <c r="D38" s="13" t="s">
        <v>382</v>
      </c>
      <c r="E38" s="12" t="s">
        <v>915</v>
      </c>
      <c r="F38" s="12" t="s">
        <v>916</v>
      </c>
      <c r="G38" s="12" t="s">
        <v>112</v>
      </c>
      <c r="H38" s="13" t="s">
        <v>447</v>
      </c>
      <c r="I38" s="13" t="s">
        <v>1026</v>
      </c>
    </row>
    <row r="39" customFormat="false" ht="17.25" hidden="false" customHeight="true" outlineLevel="0" collapsed="false">
      <c r="A39" s="14" t="s">
        <v>628</v>
      </c>
      <c r="B39" s="15" t="s">
        <v>629</v>
      </c>
      <c r="C39" s="15" t="s">
        <v>112</v>
      </c>
      <c r="D39" s="16" t="s">
        <v>382</v>
      </c>
      <c r="E39" s="15" t="s">
        <v>984</v>
      </c>
      <c r="F39" s="15" t="s">
        <v>985</v>
      </c>
      <c r="G39" s="15" t="s">
        <v>112</v>
      </c>
      <c r="H39" s="16" t="s">
        <v>447</v>
      </c>
      <c r="I39" s="16" t="s">
        <v>1026</v>
      </c>
    </row>
    <row r="40" customFormat="false" ht="17.25" hidden="false" customHeight="true" outlineLevel="0" collapsed="false">
      <c r="A40" s="11" t="s">
        <v>634</v>
      </c>
      <c r="B40" s="12" t="s">
        <v>635</v>
      </c>
      <c r="C40" s="12" t="s">
        <v>112</v>
      </c>
      <c r="D40" s="13" t="s">
        <v>382</v>
      </c>
      <c r="E40" s="12" t="s">
        <v>787</v>
      </c>
      <c r="F40" s="12" t="s">
        <v>788</v>
      </c>
      <c r="G40" s="12" t="s">
        <v>112</v>
      </c>
      <c r="H40" s="13" t="s">
        <v>352</v>
      </c>
      <c r="I40" s="13" t="s">
        <v>1026</v>
      </c>
    </row>
    <row r="41" customFormat="false" ht="17.25" hidden="false" customHeight="true" outlineLevel="0" collapsed="false">
      <c r="A41" s="14" t="s">
        <v>634</v>
      </c>
      <c r="B41" s="15" t="s">
        <v>635</v>
      </c>
      <c r="C41" s="15" t="s">
        <v>112</v>
      </c>
      <c r="D41" s="16" t="s">
        <v>382</v>
      </c>
      <c r="E41" s="15" t="s">
        <v>875</v>
      </c>
      <c r="F41" s="15" t="s">
        <v>876</v>
      </c>
      <c r="G41" s="15" t="s">
        <v>112</v>
      </c>
      <c r="H41" s="16" t="s">
        <v>447</v>
      </c>
      <c r="I41" s="16" t="s">
        <v>1026</v>
      </c>
    </row>
    <row r="42" customFormat="false" ht="17.25" hidden="false" customHeight="true" outlineLevel="0" collapsed="false">
      <c r="A42" s="11" t="s">
        <v>641</v>
      </c>
      <c r="B42" s="12" t="s">
        <v>642</v>
      </c>
      <c r="C42" s="12" t="s">
        <v>112</v>
      </c>
      <c r="D42" s="13" t="s">
        <v>261</v>
      </c>
      <c r="E42" s="12" t="s">
        <v>649</v>
      </c>
      <c r="F42" s="12" t="s">
        <v>650</v>
      </c>
      <c r="G42" s="12" t="s">
        <v>112</v>
      </c>
      <c r="H42" s="13" t="s">
        <v>261</v>
      </c>
      <c r="I42" s="13" t="s">
        <v>1026</v>
      </c>
    </row>
    <row r="43" customFormat="false" ht="17.25" hidden="false" customHeight="true" outlineLevel="0" collapsed="false">
      <c r="A43" s="14" t="s">
        <v>649</v>
      </c>
      <c r="B43" s="15" t="s">
        <v>650</v>
      </c>
      <c r="C43" s="15" t="s">
        <v>112</v>
      </c>
      <c r="D43" s="16" t="s">
        <v>261</v>
      </c>
      <c r="E43" s="15" t="s">
        <v>657</v>
      </c>
      <c r="F43" s="15" t="s">
        <v>658</v>
      </c>
      <c r="G43" s="15" t="s">
        <v>112</v>
      </c>
      <c r="H43" s="16" t="s">
        <v>261</v>
      </c>
      <c r="I43" s="16" t="s">
        <v>1026</v>
      </c>
    </row>
    <row r="44" customFormat="false" ht="17.25" hidden="false" customHeight="true" outlineLevel="0" collapsed="false">
      <c r="A44" s="11" t="s">
        <v>657</v>
      </c>
      <c r="B44" s="12" t="s">
        <v>658</v>
      </c>
      <c r="C44" s="12" t="s">
        <v>112</v>
      </c>
      <c r="D44" s="13" t="s">
        <v>261</v>
      </c>
      <c r="E44" s="12" t="s">
        <v>664</v>
      </c>
      <c r="F44" s="12" t="s">
        <v>665</v>
      </c>
      <c r="G44" s="12" t="s">
        <v>112</v>
      </c>
      <c r="H44" s="13" t="s">
        <v>261</v>
      </c>
      <c r="I44" s="13" t="s">
        <v>1026</v>
      </c>
    </row>
    <row r="45" customFormat="false" ht="17.25" hidden="false" customHeight="true" outlineLevel="0" collapsed="false">
      <c r="A45" s="14" t="s">
        <v>657</v>
      </c>
      <c r="B45" s="15" t="s">
        <v>658</v>
      </c>
      <c r="C45" s="15" t="s">
        <v>112</v>
      </c>
      <c r="D45" s="16" t="s">
        <v>261</v>
      </c>
      <c r="E45" s="15" t="s">
        <v>669</v>
      </c>
      <c r="F45" s="15" t="s">
        <v>670</v>
      </c>
      <c r="G45" s="15" t="s">
        <v>112</v>
      </c>
      <c r="H45" s="16" t="s">
        <v>382</v>
      </c>
      <c r="I45" s="16" t="s">
        <v>1026</v>
      </c>
    </row>
    <row r="46" customFormat="false" ht="28.5" hidden="false" customHeight="true" outlineLevel="0" collapsed="false">
      <c r="A46" s="11" t="s">
        <v>657</v>
      </c>
      <c r="B46" s="12" t="s">
        <v>658</v>
      </c>
      <c r="C46" s="12" t="s">
        <v>112</v>
      </c>
      <c r="D46" s="13" t="s">
        <v>261</v>
      </c>
      <c r="E46" s="12" t="s">
        <v>688</v>
      </c>
      <c r="F46" s="12" t="s">
        <v>689</v>
      </c>
      <c r="G46" s="12" t="s">
        <v>112</v>
      </c>
      <c r="H46" s="13" t="s">
        <v>382</v>
      </c>
      <c r="I46" s="13" t="s">
        <v>1026</v>
      </c>
    </row>
    <row r="47" customFormat="false" ht="17.25" hidden="false" customHeight="true" outlineLevel="0" collapsed="false">
      <c r="A47" s="14" t="s">
        <v>700</v>
      </c>
      <c r="B47" s="15" t="s">
        <v>701</v>
      </c>
      <c r="C47" s="15" t="s">
        <v>112</v>
      </c>
      <c r="D47" s="16" t="s">
        <v>382</v>
      </c>
      <c r="E47" s="15" t="s">
        <v>708</v>
      </c>
      <c r="F47" s="15" t="s">
        <v>709</v>
      </c>
      <c r="G47" s="15" t="s">
        <v>112</v>
      </c>
      <c r="H47" s="16" t="s">
        <v>382</v>
      </c>
      <c r="I47" s="16" t="s">
        <v>1026</v>
      </c>
    </row>
    <row r="48" customFormat="false" ht="17.25" hidden="false" customHeight="true" outlineLevel="0" collapsed="false">
      <c r="A48" s="11" t="s">
        <v>700</v>
      </c>
      <c r="B48" s="12" t="s">
        <v>701</v>
      </c>
      <c r="C48" s="12" t="s">
        <v>112</v>
      </c>
      <c r="D48" s="13" t="s">
        <v>382</v>
      </c>
      <c r="E48" s="12" t="s">
        <v>751</v>
      </c>
      <c r="F48" s="12" t="s">
        <v>752</v>
      </c>
      <c r="G48" s="12" t="s">
        <v>112</v>
      </c>
      <c r="H48" s="13" t="s">
        <v>352</v>
      </c>
      <c r="I48" s="13" t="s">
        <v>1026</v>
      </c>
    </row>
    <row r="49" customFormat="false" ht="17.25" hidden="false" customHeight="true" outlineLevel="0" collapsed="false">
      <c r="A49" s="14" t="s">
        <v>713</v>
      </c>
      <c r="B49" s="15" t="s">
        <v>714</v>
      </c>
      <c r="C49" s="15" t="s">
        <v>112</v>
      </c>
      <c r="D49" s="16" t="s">
        <v>382</v>
      </c>
      <c r="E49" s="15" t="s">
        <v>720</v>
      </c>
      <c r="F49" s="15" t="s">
        <v>721</v>
      </c>
      <c r="G49" s="15" t="s">
        <v>112</v>
      </c>
      <c r="H49" s="16" t="s">
        <v>382</v>
      </c>
      <c r="I49" s="16" t="s">
        <v>1026</v>
      </c>
    </row>
    <row r="50" customFormat="false" ht="17.25" hidden="false" customHeight="true" outlineLevel="0" collapsed="false">
      <c r="A50" s="11" t="s">
        <v>713</v>
      </c>
      <c r="B50" s="12" t="s">
        <v>714</v>
      </c>
      <c r="C50" s="12" t="s">
        <v>112</v>
      </c>
      <c r="D50" s="13" t="s">
        <v>382</v>
      </c>
      <c r="E50" s="12" t="s">
        <v>739</v>
      </c>
      <c r="F50" s="12" t="s">
        <v>740</v>
      </c>
      <c r="G50" s="12" t="s">
        <v>112</v>
      </c>
      <c r="H50" s="13" t="s">
        <v>382</v>
      </c>
      <c r="I50" s="13" t="s">
        <v>1026</v>
      </c>
    </row>
    <row r="51" customFormat="false" ht="17.25" hidden="false" customHeight="true" outlineLevel="0" collapsed="false">
      <c r="A51" s="14" t="s">
        <v>720</v>
      </c>
      <c r="B51" s="15" t="s">
        <v>721</v>
      </c>
      <c r="C51" s="15" t="s">
        <v>112</v>
      </c>
      <c r="D51" s="16" t="s">
        <v>382</v>
      </c>
      <c r="E51" s="15" t="s">
        <v>727</v>
      </c>
      <c r="F51" s="15" t="s">
        <v>728</v>
      </c>
      <c r="G51" s="15" t="s">
        <v>112</v>
      </c>
      <c r="H51" s="16" t="s">
        <v>382</v>
      </c>
      <c r="I51" s="16" t="s">
        <v>1026</v>
      </c>
    </row>
    <row r="52" customFormat="false" ht="17.25" hidden="false" customHeight="true" outlineLevel="0" collapsed="false">
      <c r="A52" s="11" t="s">
        <v>720</v>
      </c>
      <c r="B52" s="12" t="s">
        <v>721</v>
      </c>
      <c r="C52" s="12" t="s">
        <v>112</v>
      </c>
      <c r="D52" s="13" t="s">
        <v>382</v>
      </c>
      <c r="E52" s="12" t="s">
        <v>734</v>
      </c>
      <c r="F52" s="12" t="s">
        <v>735</v>
      </c>
      <c r="G52" s="12" t="s">
        <v>112</v>
      </c>
      <c r="H52" s="13" t="s">
        <v>382</v>
      </c>
      <c r="I52" s="13" t="s">
        <v>1026</v>
      </c>
    </row>
    <row r="53" customFormat="false" ht="17.25" hidden="false" customHeight="true" outlineLevel="0" collapsed="false">
      <c r="A53" s="14" t="s">
        <v>739</v>
      </c>
      <c r="B53" s="15" t="s">
        <v>740</v>
      </c>
      <c r="C53" s="15" t="s">
        <v>112</v>
      </c>
      <c r="D53" s="16" t="s">
        <v>382</v>
      </c>
      <c r="E53" s="15" t="s">
        <v>746</v>
      </c>
      <c r="F53" s="15" t="s">
        <v>747</v>
      </c>
      <c r="G53" s="15" t="s">
        <v>112</v>
      </c>
      <c r="H53" s="16" t="s">
        <v>382</v>
      </c>
      <c r="I53" s="16" t="s">
        <v>1026</v>
      </c>
    </row>
    <row r="54" customFormat="false" ht="17.25" hidden="false" customHeight="true" outlineLevel="0" collapsed="false">
      <c r="A54" s="11" t="s">
        <v>780</v>
      </c>
      <c r="B54" s="12" t="s">
        <v>781</v>
      </c>
      <c r="C54" s="12" t="s">
        <v>112</v>
      </c>
      <c r="D54" s="13" t="s">
        <v>352</v>
      </c>
      <c r="E54" s="12" t="s">
        <v>787</v>
      </c>
      <c r="F54" s="12" t="s">
        <v>788</v>
      </c>
      <c r="G54" s="12" t="s">
        <v>112</v>
      </c>
      <c r="H54" s="13" t="s">
        <v>352</v>
      </c>
      <c r="I54" s="13" t="s">
        <v>1026</v>
      </c>
    </row>
    <row r="55" customFormat="false" ht="17.25" hidden="false" customHeight="true" outlineLevel="0" collapsed="false">
      <c r="A55" s="14" t="s">
        <v>802</v>
      </c>
      <c r="B55" s="15" t="s">
        <v>803</v>
      </c>
      <c r="C55" s="15" t="s">
        <v>112</v>
      </c>
      <c r="D55" s="16" t="s">
        <v>352</v>
      </c>
      <c r="E55" s="15" t="s">
        <v>810</v>
      </c>
      <c r="F55" s="15" t="s">
        <v>811</v>
      </c>
      <c r="G55" s="15" t="s">
        <v>112</v>
      </c>
      <c r="H55" s="16" t="s">
        <v>352</v>
      </c>
      <c r="I55" s="16" t="s">
        <v>1026</v>
      </c>
    </row>
    <row r="56" customFormat="false" ht="28.5" hidden="false" customHeight="true" outlineLevel="0" collapsed="false">
      <c r="A56" s="11" t="s">
        <v>802</v>
      </c>
      <c r="B56" s="12" t="s">
        <v>803</v>
      </c>
      <c r="C56" s="12" t="s">
        <v>112</v>
      </c>
      <c r="D56" s="13" t="s">
        <v>352</v>
      </c>
      <c r="E56" s="12" t="s">
        <v>817</v>
      </c>
      <c r="F56" s="12" t="s">
        <v>818</v>
      </c>
      <c r="G56" s="12" t="s">
        <v>112</v>
      </c>
      <c r="H56" s="13" t="s">
        <v>352</v>
      </c>
      <c r="I56" s="13" t="s">
        <v>1026</v>
      </c>
    </row>
    <row r="57" customFormat="false" ht="17.25" hidden="false" customHeight="true" outlineLevel="0" collapsed="false">
      <c r="A57" s="14" t="s">
        <v>802</v>
      </c>
      <c r="B57" s="15" t="s">
        <v>803</v>
      </c>
      <c r="C57" s="15" t="s">
        <v>112</v>
      </c>
      <c r="D57" s="16" t="s">
        <v>352</v>
      </c>
      <c r="E57" s="15" t="s">
        <v>823</v>
      </c>
      <c r="F57" s="15" t="s">
        <v>824</v>
      </c>
      <c r="G57" s="15" t="s">
        <v>112</v>
      </c>
      <c r="H57" s="16" t="s">
        <v>352</v>
      </c>
      <c r="I57" s="16" t="s">
        <v>1026</v>
      </c>
    </row>
    <row r="58" customFormat="false" ht="17.25" hidden="false" customHeight="true" outlineLevel="0" collapsed="false">
      <c r="A58" s="11" t="s">
        <v>802</v>
      </c>
      <c r="B58" s="12" t="s">
        <v>803</v>
      </c>
      <c r="C58" s="12" t="s">
        <v>112</v>
      </c>
      <c r="D58" s="13" t="s">
        <v>352</v>
      </c>
      <c r="E58" s="12" t="s">
        <v>828</v>
      </c>
      <c r="F58" s="12" t="s">
        <v>829</v>
      </c>
      <c r="G58" s="12" t="s">
        <v>112</v>
      </c>
      <c r="H58" s="13" t="s">
        <v>352</v>
      </c>
      <c r="I58" s="13" t="s">
        <v>1026</v>
      </c>
    </row>
    <row r="59" customFormat="false" ht="17.25" hidden="false" customHeight="true" outlineLevel="0" collapsed="false">
      <c r="A59" s="14" t="s">
        <v>802</v>
      </c>
      <c r="B59" s="15" t="s">
        <v>803</v>
      </c>
      <c r="C59" s="15" t="s">
        <v>112</v>
      </c>
      <c r="D59" s="16" t="s">
        <v>352</v>
      </c>
      <c r="E59" s="15" t="s">
        <v>833</v>
      </c>
      <c r="F59" s="15" t="s">
        <v>834</v>
      </c>
      <c r="G59" s="15" t="s">
        <v>112</v>
      </c>
      <c r="H59" s="16" t="s">
        <v>352</v>
      </c>
      <c r="I59" s="16" t="s">
        <v>1026</v>
      </c>
    </row>
    <row r="60" customFormat="false" ht="17.25" hidden="false" customHeight="true" outlineLevel="0" collapsed="false">
      <c r="A60" s="11" t="s">
        <v>802</v>
      </c>
      <c r="B60" s="12" t="s">
        <v>803</v>
      </c>
      <c r="C60" s="12" t="s">
        <v>112</v>
      </c>
      <c r="D60" s="13" t="s">
        <v>352</v>
      </c>
      <c r="E60" s="12" t="s">
        <v>838</v>
      </c>
      <c r="F60" s="12" t="s">
        <v>839</v>
      </c>
      <c r="G60" s="12" t="s">
        <v>112</v>
      </c>
      <c r="H60" s="13" t="s">
        <v>352</v>
      </c>
      <c r="I60" s="13" t="s">
        <v>1026</v>
      </c>
    </row>
    <row r="61" customFormat="false" ht="17.25" hidden="false" customHeight="true" outlineLevel="0" collapsed="false">
      <c r="A61" s="14" t="s">
        <v>802</v>
      </c>
      <c r="B61" s="15" t="s">
        <v>803</v>
      </c>
      <c r="C61" s="15" t="s">
        <v>112</v>
      </c>
      <c r="D61" s="16" t="s">
        <v>352</v>
      </c>
      <c r="E61" s="15" t="s">
        <v>841</v>
      </c>
      <c r="F61" s="15" t="s">
        <v>842</v>
      </c>
      <c r="G61" s="15" t="s">
        <v>112</v>
      </c>
      <c r="H61" s="16" t="s">
        <v>352</v>
      </c>
      <c r="I61" s="16" t="s">
        <v>1026</v>
      </c>
    </row>
    <row r="62" customFormat="false" ht="17.25" hidden="false" customHeight="true" outlineLevel="0" collapsed="false">
      <c r="A62" s="11" t="s">
        <v>802</v>
      </c>
      <c r="B62" s="12" t="s">
        <v>803</v>
      </c>
      <c r="C62" s="12" t="s">
        <v>112</v>
      </c>
      <c r="D62" s="13" t="s">
        <v>352</v>
      </c>
      <c r="E62" s="12" t="s">
        <v>860</v>
      </c>
      <c r="F62" s="12" t="s">
        <v>861</v>
      </c>
      <c r="G62" s="12" t="s">
        <v>112</v>
      </c>
      <c r="H62" s="13" t="s">
        <v>352</v>
      </c>
      <c r="I62" s="13" t="s">
        <v>1026</v>
      </c>
    </row>
    <row r="63" customFormat="false" ht="28.5" hidden="false" customHeight="true" outlineLevel="0" collapsed="false">
      <c r="A63" s="14" t="s">
        <v>817</v>
      </c>
      <c r="B63" s="15" t="s">
        <v>818</v>
      </c>
      <c r="C63" s="15" t="s">
        <v>112</v>
      </c>
      <c r="D63" s="16" t="s">
        <v>352</v>
      </c>
      <c r="E63" s="15" t="s">
        <v>854</v>
      </c>
      <c r="F63" s="15" t="s">
        <v>855</v>
      </c>
      <c r="G63" s="15" t="s">
        <v>112</v>
      </c>
      <c r="H63" s="16" t="s">
        <v>352</v>
      </c>
      <c r="I63" s="16" t="s">
        <v>1026</v>
      </c>
    </row>
    <row r="64" customFormat="false" ht="17.25" hidden="false" customHeight="true" outlineLevel="0" collapsed="false">
      <c r="A64" s="11" t="s">
        <v>841</v>
      </c>
      <c r="B64" s="12" t="s">
        <v>842</v>
      </c>
      <c r="C64" s="12" t="s">
        <v>112</v>
      </c>
      <c r="D64" s="13" t="s">
        <v>352</v>
      </c>
      <c r="E64" s="12" t="s">
        <v>848</v>
      </c>
      <c r="F64" s="12" t="s">
        <v>849</v>
      </c>
      <c r="G64" s="12" t="s">
        <v>112</v>
      </c>
      <c r="H64" s="13" t="s">
        <v>352</v>
      </c>
      <c r="I64" s="13" t="s">
        <v>1026</v>
      </c>
    </row>
    <row r="65" customFormat="false" ht="17.25" hidden="false" customHeight="true" outlineLevel="0" collapsed="false">
      <c r="A65" s="14" t="s">
        <v>868</v>
      </c>
      <c r="B65" s="15" t="s">
        <v>869</v>
      </c>
      <c r="C65" s="15" t="s">
        <v>112</v>
      </c>
      <c r="D65" s="16" t="s">
        <v>447</v>
      </c>
      <c r="E65" s="15" t="s">
        <v>875</v>
      </c>
      <c r="F65" s="15" t="s">
        <v>876</v>
      </c>
      <c r="G65" s="15" t="s">
        <v>112</v>
      </c>
      <c r="H65" s="16" t="s">
        <v>447</v>
      </c>
      <c r="I65" s="16" t="s">
        <v>1026</v>
      </c>
    </row>
    <row r="66" customFormat="false" ht="17.25" hidden="false" customHeight="true" outlineLevel="0" collapsed="false">
      <c r="A66" s="11" t="s">
        <v>868</v>
      </c>
      <c r="B66" s="12" t="s">
        <v>869</v>
      </c>
      <c r="C66" s="12" t="s">
        <v>112</v>
      </c>
      <c r="D66" s="13" t="s">
        <v>447</v>
      </c>
      <c r="E66" s="12" t="s">
        <v>882</v>
      </c>
      <c r="F66" s="12" t="s">
        <v>883</v>
      </c>
      <c r="G66" s="12" t="s">
        <v>112</v>
      </c>
      <c r="H66" s="13" t="s">
        <v>447</v>
      </c>
      <c r="I66" s="13" t="s">
        <v>1026</v>
      </c>
    </row>
    <row r="67" customFormat="false" ht="17.25" hidden="false" customHeight="true" outlineLevel="0" collapsed="false">
      <c r="A67" s="14" t="s">
        <v>868</v>
      </c>
      <c r="B67" s="15" t="s">
        <v>869</v>
      </c>
      <c r="C67" s="15" t="s">
        <v>112</v>
      </c>
      <c r="D67" s="16" t="s">
        <v>447</v>
      </c>
      <c r="E67" s="15" t="s">
        <v>888</v>
      </c>
      <c r="F67" s="15" t="s">
        <v>889</v>
      </c>
      <c r="G67" s="15" t="s">
        <v>112</v>
      </c>
      <c r="H67" s="16" t="s">
        <v>447</v>
      </c>
      <c r="I67" s="16" t="s">
        <v>1026</v>
      </c>
    </row>
    <row r="68" customFormat="false" ht="28.5" hidden="false" customHeight="true" outlineLevel="0" collapsed="false">
      <c r="A68" s="11" t="s">
        <v>868</v>
      </c>
      <c r="B68" s="12" t="s">
        <v>869</v>
      </c>
      <c r="C68" s="12" t="s">
        <v>112</v>
      </c>
      <c r="D68" s="13" t="s">
        <v>447</v>
      </c>
      <c r="E68" s="12" t="s">
        <v>895</v>
      </c>
      <c r="F68" s="12" t="s">
        <v>896</v>
      </c>
      <c r="G68" s="12" t="s">
        <v>112</v>
      </c>
      <c r="H68" s="13" t="s">
        <v>447</v>
      </c>
      <c r="I68" s="13" t="s">
        <v>1026</v>
      </c>
    </row>
    <row r="69" customFormat="false" ht="28.5" hidden="false" customHeight="true" outlineLevel="0" collapsed="false">
      <c r="A69" s="14" t="s">
        <v>895</v>
      </c>
      <c r="B69" s="15" t="s">
        <v>896</v>
      </c>
      <c r="C69" s="15" t="s">
        <v>112</v>
      </c>
      <c r="D69" s="16" t="s">
        <v>447</v>
      </c>
      <c r="E69" s="15" t="s">
        <v>902</v>
      </c>
      <c r="F69" s="15" t="s">
        <v>903</v>
      </c>
      <c r="G69" s="15" t="s">
        <v>112</v>
      </c>
      <c r="H69" s="16" t="s">
        <v>447</v>
      </c>
      <c r="I69" s="16" t="s">
        <v>1026</v>
      </c>
    </row>
    <row r="70" customFormat="false" ht="28.5" hidden="false" customHeight="true" outlineLevel="0" collapsed="false">
      <c r="A70" s="11" t="s">
        <v>902</v>
      </c>
      <c r="B70" s="12" t="s">
        <v>903</v>
      </c>
      <c r="C70" s="12" t="s">
        <v>112</v>
      </c>
      <c r="D70" s="13" t="s">
        <v>447</v>
      </c>
      <c r="E70" s="12" t="s">
        <v>909</v>
      </c>
      <c r="F70" s="12" t="s">
        <v>910</v>
      </c>
      <c r="G70" s="12" t="s">
        <v>112</v>
      </c>
      <c r="H70" s="13" t="s">
        <v>447</v>
      </c>
      <c r="I70" s="13" t="s">
        <v>1026</v>
      </c>
    </row>
    <row r="71" customFormat="false" ht="28.5" hidden="false" customHeight="true" outlineLevel="0" collapsed="false">
      <c r="A71" s="14" t="s">
        <v>909</v>
      </c>
      <c r="B71" s="15" t="s">
        <v>910</v>
      </c>
      <c r="C71" s="15" t="s">
        <v>112</v>
      </c>
      <c r="D71" s="16" t="s">
        <v>447</v>
      </c>
      <c r="E71" s="15" t="s">
        <v>915</v>
      </c>
      <c r="F71" s="15" t="s">
        <v>916</v>
      </c>
      <c r="G71" s="15" t="s">
        <v>112</v>
      </c>
      <c r="H71" s="16" t="s">
        <v>447</v>
      </c>
      <c r="I71" s="16" t="s">
        <v>1026</v>
      </c>
    </row>
    <row r="72" customFormat="false" ht="17.25" hidden="false" customHeight="true" outlineLevel="0" collapsed="false">
      <c r="A72" s="11" t="s">
        <v>915</v>
      </c>
      <c r="B72" s="12" t="s">
        <v>916</v>
      </c>
      <c r="C72" s="12" t="s">
        <v>112</v>
      </c>
      <c r="D72" s="13" t="s">
        <v>447</v>
      </c>
      <c r="E72" s="12" t="s">
        <v>922</v>
      </c>
      <c r="F72" s="12" t="s">
        <v>923</v>
      </c>
      <c r="G72" s="12" t="s">
        <v>112</v>
      </c>
      <c r="H72" s="13" t="s">
        <v>447</v>
      </c>
      <c r="I72" s="13" t="s">
        <v>1026</v>
      </c>
    </row>
    <row r="73" customFormat="false" ht="17.25" hidden="false" customHeight="true" outlineLevel="0" collapsed="false">
      <c r="A73" s="14" t="s">
        <v>915</v>
      </c>
      <c r="B73" s="15" t="s">
        <v>916</v>
      </c>
      <c r="C73" s="15" t="s">
        <v>112</v>
      </c>
      <c r="D73" s="16" t="s">
        <v>447</v>
      </c>
      <c r="E73" s="15" t="s">
        <v>998</v>
      </c>
      <c r="F73" s="15" t="s">
        <v>999</v>
      </c>
      <c r="G73" s="15" t="s">
        <v>112</v>
      </c>
      <c r="H73" s="16" t="s">
        <v>447</v>
      </c>
      <c r="I73" s="16" t="s">
        <v>1026</v>
      </c>
    </row>
    <row r="74" customFormat="false" ht="17.25" hidden="false" customHeight="true" outlineLevel="0" collapsed="false">
      <c r="A74" s="11" t="s">
        <v>922</v>
      </c>
      <c r="B74" s="12" t="s">
        <v>923</v>
      </c>
      <c r="C74" s="12" t="s">
        <v>112</v>
      </c>
      <c r="D74" s="13" t="s">
        <v>447</v>
      </c>
      <c r="E74" s="12" t="s">
        <v>929</v>
      </c>
      <c r="F74" s="12" t="s">
        <v>930</v>
      </c>
      <c r="G74" s="12" t="s">
        <v>112</v>
      </c>
      <c r="H74" s="13" t="s">
        <v>447</v>
      </c>
      <c r="I74" s="13" t="s">
        <v>1026</v>
      </c>
    </row>
    <row r="75" customFormat="false" ht="17.25" hidden="false" customHeight="true" outlineLevel="0" collapsed="false">
      <c r="A75" s="14" t="s">
        <v>922</v>
      </c>
      <c r="B75" s="15" t="s">
        <v>923</v>
      </c>
      <c r="C75" s="15" t="s">
        <v>112</v>
      </c>
      <c r="D75" s="16" t="s">
        <v>447</v>
      </c>
      <c r="E75" s="15" t="s">
        <v>935</v>
      </c>
      <c r="F75" s="15" t="s">
        <v>936</v>
      </c>
      <c r="G75" s="15" t="s">
        <v>112</v>
      </c>
      <c r="H75" s="16" t="s">
        <v>447</v>
      </c>
      <c r="I75" s="16" t="s">
        <v>1026</v>
      </c>
    </row>
    <row r="76" customFormat="false" ht="28.5" hidden="false" customHeight="true" outlineLevel="0" collapsed="false">
      <c r="A76" s="11" t="s">
        <v>922</v>
      </c>
      <c r="B76" s="12" t="s">
        <v>923</v>
      </c>
      <c r="C76" s="12" t="s">
        <v>112</v>
      </c>
      <c r="D76" s="13" t="s">
        <v>447</v>
      </c>
      <c r="E76" s="12" t="s">
        <v>940</v>
      </c>
      <c r="F76" s="12" t="s">
        <v>941</v>
      </c>
      <c r="G76" s="12" t="s">
        <v>112</v>
      </c>
      <c r="H76" s="13" t="s">
        <v>447</v>
      </c>
      <c r="I76" s="13" t="s">
        <v>1026</v>
      </c>
    </row>
    <row r="77" customFormat="false" ht="17.25" hidden="false" customHeight="true" outlineLevel="0" collapsed="false">
      <c r="A77" s="14" t="s">
        <v>922</v>
      </c>
      <c r="B77" s="15" t="s">
        <v>923</v>
      </c>
      <c r="C77" s="15" t="s">
        <v>112</v>
      </c>
      <c r="D77" s="16" t="s">
        <v>447</v>
      </c>
      <c r="E77" s="15" t="s">
        <v>947</v>
      </c>
      <c r="F77" s="15" t="s">
        <v>948</v>
      </c>
      <c r="G77" s="15" t="s">
        <v>112</v>
      </c>
      <c r="H77" s="16" t="s">
        <v>447</v>
      </c>
      <c r="I77" s="16" t="s">
        <v>1026</v>
      </c>
    </row>
    <row r="78" customFormat="false" ht="17.25" hidden="false" customHeight="true" outlineLevel="0" collapsed="false">
      <c r="A78" s="11" t="s">
        <v>922</v>
      </c>
      <c r="B78" s="12" t="s">
        <v>923</v>
      </c>
      <c r="C78" s="12" t="s">
        <v>112</v>
      </c>
      <c r="D78" s="13" t="s">
        <v>447</v>
      </c>
      <c r="E78" s="12" t="s">
        <v>953</v>
      </c>
      <c r="F78" s="12" t="s">
        <v>954</v>
      </c>
      <c r="G78" s="12" t="s">
        <v>112</v>
      </c>
      <c r="H78" s="13" t="s">
        <v>447</v>
      </c>
      <c r="I78" s="13" t="s">
        <v>1026</v>
      </c>
    </row>
    <row r="79" customFormat="false" ht="17.25" hidden="false" customHeight="true" outlineLevel="0" collapsed="false">
      <c r="A79" s="14" t="s">
        <v>922</v>
      </c>
      <c r="B79" s="15" t="s">
        <v>923</v>
      </c>
      <c r="C79" s="15" t="s">
        <v>112</v>
      </c>
      <c r="D79" s="16" t="s">
        <v>447</v>
      </c>
      <c r="E79" s="15" t="s">
        <v>958</v>
      </c>
      <c r="F79" s="15" t="s">
        <v>959</v>
      </c>
      <c r="G79" s="15" t="s">
        <v>112</v>
      </c>
      <c r="H79" s="16" t="s">
        <v>447</v>
      </c>
      <c r="I79" s="16" t="s">
        <v>1026</v>
      </c>
    </row>
    <row r="80" customFormat="false" ht="17.25" hidden="false" customHeight="true" outlineLevel="0" collapsed="false">
      <c r="A80" s="11" t="s">
        <v>922</v>
      </c>
      <c r="B80" s="12" t="s">
        <v>923</v>
      </c>
      <c r="C80" s="12" t="s">
        <v>112</v>
      </c>
      <c r="D80" s="13" t="s">
        <v>447</v>
      </c>
      <c r="E80" s="12" t="s">
        <v>964</v>
      </c>
      <c r="F80" s="12" t="s">
        <v>965</v>
      </c>
      <c r="G80" s="12" t="s">
        <v>112</v>
      </c>
      <c r="H80" s="13" t="s">
        <v>447</v>
      </c>
      <c r="I80" s="13" t="s">
        <v>1026</v>
      </c>
    </row>
    <row r="81" customFormat="false" ht="28.5" hidden="false" customHeight="true" outlineLevel="0" collapsed="false">
      <c r="A81" s="14" t="s">
        <v>922</v>
      </c>
      <c r="B81" s="15" t="s">
        <v>923</v>
      </c>
      <c r="C81" s="15" t="s">
        <v>112</v>
      </c>
      <c r="D81" s="16" t="s">
        <v>447</v>
      </c>
      <c r="E81" s="15" t="s">
        <v>970</v>
      </c>
      <c r="F81" s="15" t="s">
        <v>971</v>
      </c>
      <c r="G81" s="15" t="s">
        <v>112</v>
      </c>
      <c r="H81" s="16" t="s">
        <v>447</v>
      </c>
      <c r="I81" s="16" t="s">
        <v>1026</v>
      </c>
    </row>
    <row r="82" customFormat="false" ht="28.5" hidden="false" customHeight="true" outlineLevel="0" collapsed="false">
      <c r="A82" s="11" t="s">
        <v>922</v>
      </c>
      <c r="B82" s="12" t="s">
        <v>923</v>
      </c>
      <c r="C82" s="12" t="s">
        <v>112</v>
      </c>
      <c r="D82" s="13" t="s">
        <v>447</v>
      </c>
      <c r="E82" s="12" t="s">
        <v>977</v>
      </c>
      <c r="F82" s="12" t="s">
        <v>978</v>
      </c>
      <c r="G82" s="12" t="s">
        <v>112</v>
      </c>
      <c r="H82" s="13" t="s">
        <v>447</v>
      </c>
      <c r="I82" s="13" t="s">
        <v>1026</v>
      </c>
    </row>
    <row r="83" customFormat="false" ht="28.5" hidden="false" customHeight="true" outlineLevel="0" collapsed="false">
      <c r="A83" s="14" t="s">
        <v>977</v>
      </c>
      <c r="B83" s="15" t="s">
        <v>978</v>
      </c>
      <c r="C83" s="15" t="s">
        <v>112</v>
      </c>
      <c r="D83" s="16" t="s">
        <v>447</v>
      </c>
      <c r="E83" s="15" t="s">
        <v>991</v>
      </c>
      <c r="F83" s="15" t="s">
        <v>992</v>
      </c>
      <c r="G83" s="15" t="s">
        <v>112</v>
      </c>
      <c r="H83" s="16" t="s">
        <v>447</v>
      </c>
      <c r="I83" s="16" t="s">
        <v>1026</v>
      </c>
    </row>
    <row r="84" customFormat="false" ht="17.25" hidden="false" customHeight="true" outlineLevel="0" collapsed="false">
      <c r="A84" s="11" t="s">
        <v>487</v>
      </c>
      <c r="B84" s="12" t="s">
        <v>488</v>
      </c>
      <c r="C84" s="12" t="s">
        <v>96</v>
      </c>
      <c r="D84" s="13" t="s">
        <v>244</v>
      </c>
      <c r="E84" s="12" t="s">
        <v>492</v>
      </c>
      <c r="F84" s="12" t="s">
        <v>493</v>
      </c>
      <c r="G84" s="12" t="s">
        <v>96</v>
      </c>
      <c r="H84" s="13" t="s">
        <v>261</v>
      </c>
      <c r="I84" s="13" t="s">
        <v>1026</v>
      </c>
    </row>
    <row r="85" customFormat="false" ht="17.25" hidden="false" customHeight="true" outlineLevel="0" collapsed="false">
      <c r="A85" s="14" t="s">
        <v>487</v>
      </c>
      <c r="B85" s="15" t="s">
        <v>488</v>
      </c>
      <c r="C85" s="15" t="s">
        <v>96</v>
      </c>
      <c r="D85" s="16" t="s">
        <v>244</v>
      </c>
      <c r="E85" s="15" t="s">
        <v>546</v>
      </c>
      <c r="F85" s="15" t="s">
        <v>417</v>
      </c>
      <c r="G85" s="15" t="s">
        <v>96</v>
      </c>
      <c r="H85" s="16" t="s">
        <v>382</v>
      </c>
      <c r="I85" s="16" t="s">
        <v>1026</v>
      </c>
    </row>
    <row r="86" customFormat="false" ht="28.5" hidden="false" customHeight="true" outlineLevel="0" collapsed="false">
      <c r="A86" s="11" t="s">
        <v>492</v>
      </c>
      <c r="B86" s="12" t="s">
        <v>493</v>
      </c>
      <c r="C86" s="12" t="s">
        <v>96</v>
      </c>
      <c r="D86" s="13" t="s">
        <v>261</v>
      </c>
      <c r="E86" s="12" t="s">
        <v>500</v>
      </c>
      <c r="F86" s="12" t="s">
        <v>501</v>
      </c>
      <c r="G86" s="12" t="s">
        <v>96</v>
      </c>
      <c r="H86" s="13" t="s">
        <v>261</v>
      </c>
      <c r="I86" s="13" t="s">
        <v>1026</v>
      </c>
    </row>
    <row r="87" customFormat="false" ht="17.25" hidden="false" customHeight="true" outlineLevel="0" collapsed="false">
      <c r="A87" s="14" t="s">
        <v>492</v>
      </c>
      <c r="B87" s="15" t="s">
        <v>493</v>
      </c>
      <c r="C87" s="15" t="s">
        <v>96</v>
      </c>
      <c r="D87" s="16" t="s">
        <v>261</v>
      </c>
      <c r="E87" s="15" t="s">
        <v>546</v>
      </c>
      <c r="F87" s="15" t="s">
        <v>417</v>
      </c>
      <c r="G87" s="15" t="s">
        <v>96</v>
      </c>
      <c r="H87" s="16" t="s">
        <v>382</v>
      </c>
      <c r="I87" s="16" t="s">
        <v>1026</v>
      </c>
    </row>
    <row r="88" customFormat="false" ht="28.5" hidden="false" customHeight="true" outlineLevel="0" collapsed="false">
      <c r="A88" s="11" t="s">
        <v>500</v>
      </c>
      <c r="B88" s="12" t="s">
        <v>501</v>
      </c>
      <c r="C88" s="12" t="s">
        <v>96</v>
      </c>
      <c r="D88" s="13" t="s">
        <v>261</v>
      </c>
      <c r="E88" s="12" t="s">
        <v>507</v>
      </c>
      <c r="F88" s="12" t="s">
        <v>508</v>
      </c>
      <c r="G88" s="12" t="s">
        <v>96</v>
      </c>
      <c r="H88" s="13" t="s">
        <v>261</v>
      </c>
      <c r="I88" s="13" t="s">
        <v>1026</v>
      </c>
    </row>
    <row r="89" customFormat="false" ht="28.5" hidden="false" customHeight="true" outlineLevel="0" collapsed="false">
      <c r="A89" s="14" t="s">
        <v>500</v>
      </c>
      <c r="B89" s="15" t="s">
        <v>501</v>
      </c>
      <c r="C89" s="15" t="s">
        <v>96</v>
      </c>
      <c r="D89" s="16" t="s">
        <v>261</v>
      </c>
      <c r="E89" s="15" t="s">
        <v>527</v>
      </c>
      <c r="F89" s="15" t="s">
        <v>528</v>
      </c>
      <c r="G89" s="15" t="s">
        <v>96</v>
      </c>
      <c r="H89" s="16" t="s">
        <v>382</v>
      </c>
      <c r="I89" s="16" t="s">
        <v>1026</v>
      </c>
    </row>
    <row r="90" customFormat="false" ht="28.5" hidden="false" customHeight="true" outlineLevel="0" collapsed="false">
      <c r="A90" s="11" t="s">
        <v>500</v>
      </c>
      <c r="B90" s="12" t="s">
        <v>501</v>
      </c>
      <c r="C90" s="12" t="s">
        <v>96</v>
      </c>
      <c r="D90" s="13" t="s">
        <v>261</v>
      </c>
      <c r="E90" s="12" t="s">
        <v>546</v>
      </c>
      <c r="F90" s="12" t="s">
        <v>417</v>
      </c>
      <c r="G90" s="12" t="s">
        <v>96</v>
      </c>
      <c r="H90" s="13" t="s">
        <v>382</v>
      </c>
      <c r="I90" s="13" t="s">
        <v>1026</v>
      </c>
    </row>
    <row r="91" customFormat="false" ht="17.25" hidden="false" customHeight="true" outlineLevel="0" collapsed="false">
      <c r="A91" s="14" t="s">
        <v>507</v>
      </c>
      <c r="B91" s="15" t="s">
        <v>508</v>
      </c>
      <c r="C91" s="15" t="s">
        <v>96</v>
      </c>
      <c r="D91" s="16" t="s">
        <v>261</v>
      </c>
      <c r="E91" s="15" t="s">
        <v>514</v>
      </c>
      <c r="F91" s="15" t="s">
        <v>515</v>
      </c>
      <c r="G91" s="15" t="s">
        <v>96</v>
      </c>
      <c r="H91" s="16" t="s">
        <v>382</v>
      </c>
      <c r="I91" s="16" t="s">
        <v>1026</v>
      </c>
    </row>
    <row r="92" customFormat="false" ht="17.25" hidden="false" customHeight="true" outlineLevel="0" collapsed="false">
      <c r="A92" s="11" t="s">
        <v>507</v>
      </c>
      <c r="B92" s="12" t="s">
        <v>508</v>
      </c>
      <c r="C92" s="12" t="s">
        <v>96</v>
      </c>
      <c r="D92" s="13" t="s">
        <v>261</v>
      </c>
      <c r="E92" s="12" t="s">
        <v>546</v>
      </c>
      <c r="F92" s="12" t="s">
        <v>417</v>
      </c>
      <c r="G92" s="12" t="s">
        <v>96</v>
      </c>
      <c r="H92" s="13" t="s">
        <v>382</v>
      </c>
      <c r="I92" s="13" t="s">
        <v>1026</v>
      </c>
    </row>
    <row r="93" customFormat="false" ht="17.25" hidden="false" customHeight="true" outlineLevel="0" collapsed="false">
      <c r="A93" s="14" t="s">
        <v>514</v>
      </c>
      <c r="B93" s="15" t="s">
        <v>515</v>
      </c>
      <c r="C93" s="15" t="s">
        <v>96</v>
      </c>
      <c r="D93" s="16" t="s">
        <v>382</v>
      </c>
      <c r="E93" s="15" t="s">
        <v>522</v>
      </c>
      <c r="F93" s="15" t="s">
        <v>523</v>
      </c>
      <c r="G93" s="15" t="s">
        <v>96</v>
      </c>
      <c r="H93" s="16" t="s">
        <v>382</v>
      </c>
      <c r="I93" s="16" t="s">
        <v>1026</v>
      </c>
    </row>
    <row r="94" customFormat="false" ht="17.25" hidden="false" customHeight="true" outlineLevel="0" collapsed="false">
      <c r="A94" s="11" t="s">
        <v>514</v>
      </c>
      <c r="B94" s="12" t="s">
        <v>515</v>
      </c>
      <c r="C94" s="12" t="s">
        <v>96</v>
      </c>
      <c r="D94" s="13" t="s">
        <v>382</v>
      </c>
      <c r="E94" s="12" t="s">
        <v>546</v>
      </c>
      <c r="F94" s="12" t="s">
        <v>417</v>
      </c>
      <c r="G94" s="12" t="s">
        <v>96</v>
      </c>
      <c r="H94" s="13" t="s">
        <v>382</v>
      </c>
      <c r="I94" s="13" t="s">
        <v>1026</v>
      </c>
    </row>
    <row r="95" customFormat="false" ht="17.25" hidden="false" customHeight="true" outlineLevel="0" collapsed="false">
      <c r="A95" s="14" t="s">
        <v>522</v>
      </c>
      <c r="B95" s="15" t="s">
        <v>523</v>
      </c>
      <c r="C95" s="15" t="s">
        <v>96</v>
      </c>
      <c r="D95" s="16" t="s">
        <v>382</v>
      </c>
      <c r="E95" s="15" t="s">
        <v>546</v>
      </c>
      <c r="F95" s="15" t="s">
        <v>417</v>
      </c>
      <c r="G95" s="15" t="s">
        <v>96</v>
      </c>
      <c r="H95" s="16" t="s">
        <v>382</v>
      </c>
      <c r="I95" s="16" t="s">
        <v>1026</v>
      </c>
    </row>
    <row r="96" customFormat="false" ht="17.25" hidden="false" customHeight="true" outlineLevel="0" collapsed="false">
      <c r="A96" s="11" t="s">
        <v>527</v>
      </c>
      <c r="B96" s="12" t="s">
        <v>528</v>
      </c>
      <c r="C96" s="12" t="s">
        <v>96</v>
      </c>
      <c r="D96" s="13" t="s">
        <v>382</v>
      </c>
      <c r="E96" s="12" t="s">
        <v>546</v>
      </c>
      <c r="F96" s="12" t="s">
        <v>417</v>
      </c>
      <c r="G96" s="12" t="s">
        <v>96</v>
      </c>
      <c r="H96" s="13" t="s">
        <v>382</v>
      </c>
      <c r="I96" s="13" t="s">
        <v>1026</v>
      </c>
    </row>
    <row r="97" customFormat="false" ht="17.25" hidden="false" customHeight="true" outlineLevel="0" collapsed="false">
      <c r="A97" s="14" t="s">
        <v>534</v>
      </c>
      <c r="B97" s="15" t="s">
        <v>535</v>
      </c>
      <c r="C97" s="15" t="s">
        <v>96</v>
      </c>
      <c r="D97" s="16" t="s">
        <v>382</v>
      </c>
      <c r="E97" s="15" t="s">
        <v>546</v>
      </c>
      <c r="F97" s="15" t="s">
        <v>417</v>
      </c>
      <c r="G97" s="15" t="s">
        <v>96</v>
      </c>
      <c r="H97" s="16" t="s">
        <v>382</v>
      </c>
      <c r="I97" s="16" t="s">
        <v>1026</v>
      </c>
    </row>
    <row r="98" customFormat="false" ht="17.25" hidden="false" customHeight="true" outlineLevel="0" collapsed="false">
      <c r="A98" s="11" t="s">
        <v>540</v>
      </c>
      <c r="B98" s="12" t="s">
        <v>541</v>
      </c>
      <c r="C98" s="12" t="s">
        <v>96</v>
      </c>
      <c r="D98" s="13" t="s">
        <v>382</v>
      </c>
      <c r="E98" s="12" t="s">
        <v>546</v>
      </c>
      <c r="F98" s="12" t="s">
        <v>417</v>
      </c>
      <c r="G98" s="12" t="s">
        <v>96</v>
      </c>
      <c r="H98" s="13" t="s">
        <v>382</v>
      </c>
      <c r="I98" s="13" t="s">
        <v>1026</v>
      </c>
    </row>
    <row r="99" customFormat="false" ht="28.5" hidden="false" customHeight="true" outlineLevel="0" collapsed="false">
      <c r="A99" s="14" t="s">
        <v>233</v>
      </c>
      <c r="B99" s="15" t="s">
        <v>235</v>
      </c>
      <c r="C99" s="15" t="s">
        <v>71</v>
      </c>
      <c r="D99" s="16" t="s">
        <v>244</v>
      </c>
      <c r="E99" s="15" t="s">
        <v>609</v>
      </c>
      <c r="F99" s="15" t="s">
        <v>610</v>
      </c>
      <c r="G99" s="15" t="s">
        <v>112</v>
      </c>
      <c r="H99" s="16" t="s">
        <v>261</v>
      </c>
      <c r="I99" s="18" t="s">
        <v>1027</v>
      </c>
    </row>
    <row r="100" customFormat="false" ht="17.25" hidden="false" customHeight="true" outlineLevel="0" collapsed="false">
      <c r="A100" s="11" t="s">
        <v>233</v>
      </c>
      <c r="B100" s="12" t="s">
        <v>235</v>
      </c>
      <c r="C100" s="12" t="s">
        <v>71</v>
      </c>
      <c r="D100" s="13" t="s">
        <v>244</v>
      </c>
      <c r="E100" s="12" t="s">
        <v>487</v>
      </c>
      <c r="F100" s="12" t="s">
        <v>488</v>
      </c>
      <c r="G100" s="12" t="s">
        <v>96</v>
      </c>
      <c r="H100" s="13" t="s">
        <v>244</v>
      </c>
      <c r="I100" s="18" t="s">
        <v>1027</v>
      </c>
    </row>
    <row r="101" customFormat="false" ht="17.25" hidden="false" customHeight="true" outlineLevel="0" collapsed="false">
      <c r="A101" s="14" t="s">
        <v>233</v>
      </c>
      <c r="B101" s="15" t="s">
        <v>235</v>
      </c>
      <c r="C101" s="15" t="s">
        <v>71</v>
      </c>
      <c r="D101" s="16" t="s">
        <v>244</v>
      </c>
      <c r="E101" s="15" t="s">
        <v>534</v>
      </c>
      <c r="F101" s="15" t="s">
        <v>535</v>
      </c>
      <c r="G101" s="15" t="s">
        <v>96</v>
      </c>
      <c r="H101" s="16" t="s">
        <v>382</v>
      </c>
      <c r="I101" s="18" t="s">
        <v>1027</v>
      </c>
    </row>
    <row r="102" customFormat="false" ht="17.25" hidden="false" customHeight="true" outlineLevel="0" collapsed="false">
      <c r="A102" s="11" t="s">
        <v>233</v>
      </c>
      <c r="B102" s="12" t="s">
        <v>235</v>
      </c>
      <c r="C102" s="12" t="s">
        <v>71</v>
      </c>
      <c r="D102" s="13" t="s">
        <v>244</v>
      </c>
      <c r="E102" s="12" t="s">
        <v>248</v>
      </c>
      <c r="F102" s="12" t="s">
        <v>249</v>
      </c>
      <c r="G102" s="12" t="s">
        <v>71</v>
      </c>
      <c r="H102" s="13" t="s">
        <v>244</v>
      </c>
      <c r="I102" s="13" t="s">
        <v>1026</v>
      </c>
    </row>
    <row r="103" customFormat="false" ht="28.5" hidden="false" customHeight="true" outlineLevel="0" collapsed="false">
      <c r="A103" s="14" t="s">
        <v>233</v>
      </c>
      <c r="B103" s="15" t="s">
        <v>235</v>
      </c>
      <c r="C103" s="15" t="s">
        <v>71</v>
      </c>
      <c r="D103" s="16" t="s">
        <v>244</v>
      </c>
      <c r="E103" s="15" t="s">
        <v>256</v>
      </c>
      <c r="F103" s="15" t="s">
        <v>257</v>
      </c>
      <c r="G103" s="15" t="s">
        <v>71</v>
      </c>
      <c r="H103" s="16" t="s">
        <v>261</v>
      </c>
      <c r="I103" s="16" t="s">
        <v>1026</v>
      </c>
    </row>
    <row r="104" customFormat="false" ht="17.25" hidden="false" customHeight="true" outlineLevel="0" collapsed="false">
      <c r="A104" s="11" t="s">
        <v>233</v>
      </c>
      <c r="B104" s="12" t="s">
        <v>235</v>
      </c>
      <c r="C104" s="12" t="s">
        <v>71</v>
      </c>
      <c r="D104" s="13" t="s">
        <v>244</v>
      </c>
      <c r="E104" s="12" t="s">
        <v>269</v>
      </c>
      <c r="F104" s="12" t="s">
        <v>270</v>
      </c>
      <c r="G104" s="12" t="s">
        <v>71</v>
      </c>
      <c r="H104" s="13" t="s">
        <v>261</v>
      </c>
      <c r="I104" s="13" t="s">
        <v>1026</v>
      </c>
    </row>
    <row r="105" customFormat="false" ht="17.25" hidden="false" customHeight="true" outlineLevel="0" collapsed="false">
      <c r="A105" s="14" t="s">
        <v>233</v>
      </c>
      <c r="B105" s="15" t="s">
        <v>235</v>
      </c>
      <c r="C105" s="15" t="s">
        <v>71</v>
      </c>
      <c r="D105" s="16" t="s">
        <v>244</v>
      </c>
      <c r="E105" s="15" t="s">
        <v>276</v>
      </c>
      <c r="F105" s="15" t="s">
        <v>277</v>
      </c>
      <c r="G105" s="15" t="s">
        <v>71</v>
      </c>
      <c r="H105" s="16" t="s">
        <v>261</v>
      </c>
      <c r="I105" s="16" t="s">
        <v>1026</v>
      </c>
    </row>
    <row r="106" customFormat="false" ht="17.25" hidden="false" customHeight="true" outlineLevel="0" collapsed="false">
      <c r="A106" s="11" t="s">
        <v>233</v>
      </c>
      <c r="B106" s="12" t="s">
        <v>235</v>
      </c>
      <c r="C106" s="12" t="s">
        <v>71</v>
      </c>
      <c r="D106" s="13" t="s">
        <v>244</v>
      </c>
      <c r="E106" s="12" t="s">
        <v>307</v>
      </c>
      <c r="F106" s="12" t="s">
        <v>309</v>
      </c>
      <c r="G106" s="12" t="s">
        <v>80</v>
      </c>
      <c r="H106" s="13" t="s">
        <v>244</v>
      </c>
      <c r="I106" s="18" t="s">
        <v>1027</v>
      </c>
    </row>
    <row r="107" customFormat="false" ht="28.5" hidden="false" customHeight="true" outlineLevel="0" collapsed="false">
      <c r="A107" s="14" t="s">
        <v>233</v>
      </c>
      <c r="B107" s="15" t="s">
        <v>235</v>
      </c>
      <c r="C107" s="15" t="s">
        <v>71</v>
      </c>
      <c r="D107" s="16" t="s">
        <v>244</v>
      </c>
      <c r="E107" s="15" t="s">
        <v>551</v>
      </c>
      <c r="F107" s="15" t="s">
        <v>552</v>
      </c>
      <c r="G107" s="15" t="s">
        <v>105</v>
      </c>
      <c r="H107" s="16" t="s">
        <v>244</v>
      </c>
      <c r="I107" s="18" t="s">
        <v>1027</v>
      </c>
    </row>
    <row r="108" customFormat="false" ht="17.25" hidden="false" customHeight="true" outlineLevel="0" collapsed="false">
      <c r="A108" s="11" t="s">
        <v>248</v>
      </c>
      <c r="B108" s="12" t="s">
        <v>249</v>
      </c>
      <c r="C108" s="12" t="s">
        <v>71</v>
      </c>
      <c r="D108" s="13" t="s">
        <v>244</v>
      </c>
      <c r="E108" s="12" t="s">
        <v>487</v>
      </c>
      <c r="F108" s="12" t="s">
        <v>488</v>
      </c>
      <c r="G108" s="12" t="s">
        <v>96</v>
      </c>
      <c r="H108" s="13" t="s">
        <v>244</v>
      </c>
      <c r="I108" s="18" t="s">
        <v>1027</v>
      </c>
    </row>
    <row r="109" customFormat="false" ht="17.25" hidden="false" customHeight="true" outlineLevel="0" collapsed="false">
      <c r="A109" s="14" t="s">
        <v>248</v>
      </c>
      <c r="B109" s="15" t="s">
        <v>249</v>
      </c>
      <c r="C109" s="15" t="s">
        <v>71</v>
      </c>
      <c r="D109" s="16" t="s">
        <v>244</v>
      </c>
      <c r="E109" s="15" t="s">
        <v>263</v>
      </c>
      <c r="F109" s="15" t="s">
        <v>264</v>
      </c>
      <c r="G109" s="15" t="s">
        <v>71</v>
      </c>
      <c r="H109" s="16" t="s">
        <v>261</v>
      </c>
      <c r="I109" s="16" t="s">
        <v>1026</v>
      </c>
    </row>
    <row r="110" customFormat="false" ht="17.25" hidden="false" customHeight="true" outlineLevel="0" collapsed="false">
      <c r="A110" s="11" t="s">
        <v>248</v>
      </c>
      <c r="B110" s="12" t="s">
        <v>249</v>
      </c>
      <c r="C110" s="12" t="s">
        <v>71</v>
      </c>
      <c r="D110" s="13" t="s">
        <v>244</v>
      </c>
      <c r="E110" s="12" t="s">
        <v>307</v>
      </c>
      <c r="F110" s="12" t="s">
        <v>309</v>
      </c>
      <c r="G110" s="12" t="s">
        <v>80</v>
      </c>
      <c r="H110" s="13" t="s">
        <v>244</v>
      </c>
      <c r="I110" s="18" t="s">
        <v>1027</v>
      </c>
    </row>
    <row r="111" customFormat="false" ht="17.25" hidden="false" customHeight="true" outlineLevel="0" collapsed="false">
      <c r="A111" s="14" t="s">
        <v>248</v>
      </c>
      <c r="B111" s="15" t="s">
        <v>249</v>
      </c>
      <c r="C111" s="15" t="s">
        <v>71</v>
      </c>
      <c r="D111" s="16" t="s">
        <v>244</v>
      </c>
      <c r="E111" s="15" t="s">
        <v>383</v>
      </c>
      <c r="F111" s="15" t="s">
        <v>390</v>
      </c>
      <c r="G111" s="15" t="s">
        <v>80</v>
      </c>
      <c r="H111" s="16" t="s">
        <v>382</v>
      </c>
      <c r="I111" s="18" t="s">
        <v>1027</v>
      </c>
    </row>
    <row r="112" customFormat="false" ht="17.25" hidden="false" customHeight="true" outlineLevel="0" collapsed="false">
      <c r="A112" s="11" t="s">
        <v>248</v>
      </c>
      <c r="B112" s="12" t="s">
        <v>249</v>
      </c>
      <c r="C112" s="12" t="s">
        <v>71</v>
      </c>
      <c r="D112" s="13" t="s">
        <v>244</v>
      </c>
      <c r="E112" s="12" t="s">
        <v>401</v>
      </c>
      <c r="F112" s="12" t="s">
        <v>402</v>
      </c>
      <c r="G112" s="12" t="s">
        <v>80</v>
      </c>
      <c r="H112" s="13" t="s">
        <v>382</v>
      </c>
      <c r="I112" s="18" t="s">
        <v>1027</v>
      </c>
    </row>
    <row r="113" customFormat="false" ht="17.25" hidden="false" customHeight="true" outlineLevel="0" collapsed="false">
      <c r="A113" s="14" t="s">
        <v>248</v>
      </c>
      <c r="B113" s="15" t="s">
        <v>249</v>
      </c>
      <c r="C113" s="15" t="s">
        <v>71</v>
      </c>
      <c r="D113" s="16" t="s">
        <v>244</v>
      </c>
      <c r="E113" s="15" t="s">
        <v>411</v>
      </c>
      <c r="F113" s="15" t="s">
        <v>412</v>
      </c>
      <c r="G113" s="15" t="s">
        <v>80</v>
      </c>
      <c r="H113" s="16" t="s">
        <v>261</v>
      </c>
      <c r="I113" s="18" t="s">
        <v>1027</v>
      </c>
    </row>
    <row r="114" customFormat="false" ht="28.5" hidden="false" customHeight="true" outlineLevel="0" collapsed="false">
      <c r="A114" s="11" t="s">
        <v>256</v>
      </c>
      <c r="B114" s="12" t="s">
        <v>257</v>
      </c>
      <c r="C114" s="12" t="s">
        <v>71</v>
      </c>
      <c r="D114" s="13" t="s">
        <v>261</v>
      </c>
      <c r="E114" s="12" t="s">
        <v>609</v>
      </c>
      <c r="F114" s="12" t="s">
        <v>610</v>
      </c>
      <c r="G114" s="12" t="s">
        <v>112</v>
      </c>
      <c r="H114" s="13" t="s">
        <v>261</v>
      </c>
      <c r="I114" s="18" t="s">
        <v>1027</v>
      </c>
    </row>
    <row r="115" customFormat="false" ht="28.5" hidden="false" customHeight="true" outlineLevel="0" collapsed="false">
      <c r="A115" s="14" t="s">
        <v>256</v>
      </c>
      <c r="B115" s="15" t="s">
        <v>257</v>
      </c>
      <c r="C115" s="15" t="s">
        <v>71</v>
      </c>
      <c r="D115" s="16" t="s">
        <v>261</v>
      </c>
      <c r="E115" s="15" t="s">
        <v>860</v>
      </c>
      <c r="F115" s="15" t="s">
        <v>861</v>
      </c>
      <c r="G115" s="15" t="s">
        <v>112</v>
      </c>
      <c r="H115" s="16" t="s">
        <v>352</v>
      </c>
      <c r="I115" s="18" t="s">
        <v>1027</v>
      </c>
    </row>
    <row r="116" customFormat="false" ht="28.5" hidden="false" customHeight="true" outlineLevel="0" collapsed="false">
      <c r="A116" s="11" t="s">
        <v>256</v>
      </c>
      <c r="B116" s="12" t="s">
        <v>257</v>
      </c>
      <c r="C116" s="12" t="s">
        <v>71</v>
      </c>
      <c r="D116" s="13" t="s">
        <v>261</v>
      </c>
      <c r="E116" s="12" t="s">
        <v>909</v>
      </c>
      <c r="F116" s="12" t="s">
        <v>910</v>
      </c>
      <c r="G116" s="12" t="s">
        <v>112</v>
      </c>
      <c r="H116" s="13" t="s">
        <v>447</v>
      </c>
      <c r="I116" s="18" t="s">
        <v>1027</v>
      </c>
    </row>
    <row r="117" customFormat="false" ht="28.5" hidden="false" customHeight="true" outlineLevel="0" collapsed="false">
      <c r="A117" s="14" t="s">
        <v>256</v>
      </c>
      <c r="B117" s="15" t="s">
        <v>257</v>
      </c>
      <c r="C117" s="15" t="s">
        <v>71</v>
      </c>
      <c r="D117" s="16" t="s">
        <v>261</v>
      </c>
      <c r="E117" s="15" t="s">
        <v>487</v>
      </c>
      <c r="F117" s="15" t="s">
        <v>488</v>
      </c>
      <c r="G117" s="15" t="s">
        <v>96</v>
      </c>
      <c r="H117" s="16" t="s">
        <v>244</v>
      </c>
      <c r="I117" s="18" t="s">
        <v>1027</v>
      </c>
    </row>
    <row r="118" customFormat="false" ht="28.5" hidden="false" customHeight="true" outlineLevel="0" collapsed="false">
      <c r="A118" s="11" t="s">
        <v>256</v>
      </c>
      <c r="B118" s="12" t="s">
        <v>257</v>
      </c>
      <c r="C118" s="12" t="s">
        <v>71</v>
      </c>
      <c r="D118" s="13" t="s">
        <v>261</v>
      </c>
      <c r="E118" s="12" t="s">
        <v>461</v>
      </c>
      <c r="F118" s="12" t="s">
        <v>462</v>
      </c>
      <c r="G118" s="12" t="s">
        <v>89</v>
      </c>
      <c r="H118" s="13" t="s">
        <v>447</v>
      </c>
      <c r="I118" s="18" t="s">
        <v>1027</v>
      </c>
    </row>
    <row r="119" customFormat="false" ht="28.5" hidden="false" customHeight="true" outlineLevel="0" collapsed="false">
      <c r="A119" s="14" t="s">
        <v>256</v>
      </c>
      <c r="B119" s="15" t="s">
        <v>257</v>
      </c>
      <c r="C119" s="15" t="s">
        <v>71</v>
      </c>
      <c r="D119" s="16" t="s">
        <v>261</v>
      </c>
      <c r="E119" s="15" t="s">
        <v>307</v>
      </c>
      <c r="F119" s="15" t="s">
        <v>309</v>
      </c>
      <c r="G119" s="15" t="s">
        <v>80</v>
      </c>
      <c r="H119" s="16" t="s">
        <v>244</v>
      </c>
      <c r="I119" s="18" t="s">
        <v>1027</v>
      </c>
    </row>
    <row r="120" customFormat="false" ht="28.5" hidden="false" customHeight="true" outlineLevel="0" collapsed="false">
      <c r="A120" s="11" t="s">
        <v>256</v>
      </c>
      <c r="B120" s="12" t="s">
        <v>257</v>
      </c>
      <c r="C120" s="12" t="s">
        <v>71</v>
      </c>
      <c r="D120" s="13" t="s">
        <v>261</v>
      </c>
      <c r="E120" s="12" t="s">
        <v>369</v>
      </c>
      <c r="F120" s="12" t="s">
        <v>370</v>
      </c>
      <c r="G120" s="12" t="s">
        <v>80</v>
      </c>
      <c r="H120" s="13" t="s">
        <v>352</v>
      </c>
      <c r="I120" s="18" t="s">
        <v>1027</v>
      </c>
    </row>
    <row r="121" customFormat="false" ht="17.25" hidden="false" customHeight="true" outlineLevel="0" collapsed="false">
      <c r="A121" s="14" t="s">
        <v>263</v>
      </c>
      <c r="B121" s="15" t="s">
        <v>264</v>
      </c>
      <c r="C121" s="15" t="s">
        <v>71</v>
      </c>
      <c r="D121" s="16" t="s">
        <v>261</v>
      </c>
      <c r="E121" s="15" t="s">
        <v>592</v>
      </c>
      <c r="F121" s="15" t="s">
        <v>593</v>
      </c>
      <c r="G121" s="15" t="s">
        <v>112</v>
      </c>
      <c r="H121" s="16" t="s">
        <v>244</v>
      </c>
      <c r="I121" s="18" t="s">
        <v>1027</v>
      </c>
    </row>
    <row r="122" customFormat="false" ht="17.25" hidden="false" customHeight="true" outlineLevel="0" collapsed="false">
      <c r="A122" s="11" t="s">
        <v>263</v>
      </c>
      <c r="B122" s="12" t="s">
        <v>264</v>
      </c>
      <c r="C122" s="12" t="s">
        <v>71</v>
      </c>
      <c r="D122" s="13" t="s">
        <v>261</v>
      </c>
      <c r="E122" s="12" t="s">
        <v>487</v>
      </c>
      <c r="F122" s="12" t="s">
        <v>488</v>
      </c>
      <c r="G122" s="12" t="s">
        <v>96</v>
      </c>
      <c r="H122" s="13" t="s">
        <v>244</v>
      </c>
      <c r="I122" s="18" t="s">
        <v>1027</v>
      </c>
    </row>
    <row r="123" customFormat="false" ht="17.25" hidden="false" customHeight="true" outlineLevel="0" collapsed="false">
      <c r="A123" s="14" t="s">
        <v>263</v>
      </c>
      <c r="B123" s="15" t="s">
        <v>264</v>
      </c>
      <c r="C123" s="15" t="s">
        <v>71</v>
      </c>
      <c r="D123" s="16" t="s">
        <v>261</v>
      </c>
      <c r="E123" s="15" t="s">
        <v>514</v>
      </c>
      <c r="F123" s="15" t="s">
        <v>515</v>
      </c>
      <c r="G123" s="15" t="s">
        <v>96</v>
      </c>
      <c r="H123" s="16" t="s">
        <v>382</v>
      </c>
      <c r="I123" s="18" t="s">
        <v>1027</v>
      </c>
    </row>
    <row r="124" customFormat="false" ht="17.25" hidden="false" customHeight="true" outlineLevel="0" collapsed="false">
      <c r="A124" s="11" t="s">
        <v>263</v>
      </c>
      <c r="B124" s="12" t="s">
        <v>264</v>
      </c>
      <c r="C124" s="12" t="s">
        <v>71</v>
      </c>
      <c r="D124" s="13" t="s">
        <v>261</v>
      </c>
      <c r="E124" s="12" t="s">
        <v>307</v>
      </c>
      <c r="F124" s="12" t="s">
        <v>309</v>
      </c>
      <c r="G124" s="12" t="s">
        <v>80</v>
      </c>
      <c r="H124" s="13" t="s">
        <v>244</v>
      </c>
      <c r="I124" s="18" t="s">
        <v>1027</v>
      </c>
    </row>
    <row r="125" customFormat="false" ht="17.25" hidden="false" customHeight="true" outlineLevel="0" collapsed="false">
      <c r="A125" s="14" t="s">
        <v>269</v>
      </c>
      <c r="B125" s="15" t="s">
        <v>270</v>
      </c>
      <c r="C125" s="15" t="s">
        <v>71</v>
      </c>
      <c r="D125" s="16" t="s">
        <v>261</v>
      </c>
      <c r="E125" s="15" t="s">
        <v>487</v>
      </c>
      <c r="F125" s="15" t="s">
        <v>488</v>
      </c>
      <c r="G125" s="15" t="s">
        <v>96</v>
      </c>
      <c r="H125" s="16" t="s">
        <v>244</v>
      </c>
      <c r="I125" s="18" t="s">
        <v>1027</v>
      </c>
    </row>
    <row r="126" customFormat="false" ht="17.25" hidden="false" customHeight="true" outlineLevel="0" collapsed="false">
      <c r="A126" s="11" t="s">
        <v>269</v>
      </c>
      <c r="B126" s="12" t="s">
        <v>270</v>
      </c>
      <c r="C126" s="12" t="s">
        <v>71</v>
      </c>
      <c r="D126" s="13" t="s">
        <v>261</v>
      </c>
      <c r="E126" s="12" t="s">
        <v>455</v>
      </c>
      <c r="F126" s="12" t="s">
        <v>456</v>
      </c>
      <c r="G126" s="12" t="s">
        <v>89</v>
      </c>
      <c r="H126" s="13" t="s">
        <v>447</v>
      </c>
      <c r="I126" s="18" t="s">
        <v>1027</v>
      </c>
    </row>
    <row r="127" customFormat="false" ht="17.25" hidden="false" customHeight="true" outlineLevel="0" collapsed="false">
      <c r="A127" s="14" t="s">
        <v>269</v>
      </c>
      <c r="B127" s="15" t="s">
        <v>270</v>
      </c>
      <c r="C127" s="15" t="s">
        <v>71</v>
      </c>
      <c r="D127" s="16" t="s">
        <v>261</v>
      </c>
      <c r="E127" s="15" t="s">
        <v>307</v>
      </c>
      <c r="F127" s="15" t="s">
        <v>309</v>
      </c>
      <c r="G127" s="15" t="s">
        <v>80</v>
      </c>
      <c r="H127" s="16" t="s">
        <v>244</v>
      </c>
      <c r="I127" s="18" t="s">
        <v>1027</v>
      </c>
    </row>
    <row r="128" customFormat="false" ht="17.25" hidden="false" customHeight="true" outlineLevel="0" collapsed="false">
      <c r="A128" s="11" t="s">
        <v>269</v>
      </c>
      <c r="B128" s="12" t="s">
        <v>270</v>
      </c>
      <c r="C128" s="12" t="s">
        <v>71</v>
      </c>
      <c r="D128" s="13" t="s">
        <v>261</v>
      </c>
      <c r="E128" s="12" t="s">
        <v>346</v>
      </c>
      <c r="F128" s="12" t="s">
        <v>347</v>
      </c>
      <c r="G128" s="12" t="s">
        <v>80</v>
      </c>
      <c r="H128" s="13" t="s">
        <v>352</v>
      </c>
      <c r="I128" s="18" t="s">
        <v>1027</v>
      </c>
    </row>
    <row r="129" customFormat="false" ht="17.25" hidden="false" customHeight="true" outlineLevel="0" collapsed="false">
      <c r="A129" s="14" t="s">
        <v>276</v>
      </c>
      <c r="B129" s="15" t="s">
        <v>277</v>
      </c>
      <c r="C129" s="15" t="s">
        <v>71</v>
      </c>
      <c r="D129" s="16" t="s">
        <v>261</v>
      </c>
      <c r="E129" s="15" t="s">
        <v>540</v>
      </c>
      <c r="F129" s="15" t="s">
        <v>541</v>
      </c>
      <c r="G129" s="15" t="s">
        <v>96</v>
      </c>
      <c r="H129" s="16" t="s">
        <v>382</v>
      </c>
      <c r="I129" s="18" t="s">
        <v>1027</v>
      </c>
    </row>
    <row r="130" customFormat="false" ht="17.25" hidden="false" customHeight="true" outlineLevel="0" collapsed="false">
      <c r="A130" s="11" t="s">
        <v>283</v>
      </c>
      <c r="B130" s="12" t="s">
        <v>284</v>
      </c>
      <c r="C130" s="12" t="s">
        <v>71</v>
      </c>
      <c r="D130" s="13" t="s">
        <v>261</v>
      </c>
      <c r="E130" s="12" t="s">
        <v>841</v>
      </c>
      <c r="F130" s="12" t="s">
        <v>842</v>
      </c>
      <c r="G130" s="12" t="s">
        <v>112</v>
      </c>
      <c r="H130" s="13" t="s">
        <v>352</v>
      </c>
      <c r="I130" s="18" t="s">
        <v>1027</v>
      </c>
    </row>
    <row r="131" customFormat="false" ht="28.5" hidden="false" customHeight="true" outlineLevel="0" collapsed="false">
      <c r="A131" s="14" t="s">
        <v>283</v>
      </c>
      <c r="B131" s="15" t="s">
        <v>284</v>
      </c>
      <c r="C131" s="15" t="s">
        <v>71</v>
      </c>
      <c r="D131" s="16" t="s">
        <v>261</v>
      </c>
      <c r="E131" s="15" t="s">
        <v>902</v>
      </c>
      <c r="F131" s="15" t="s">
        <v>903</v>
      </c>
      <c r="G131" s="15" t="s">
        <v>112</v>
      </c>
      <c r="H131" s="16" t="s">
        <v>447</v>
      </c>
      <c r="I131" s="18" t="s">
        <v>1027</v>
      </c>
    </row>
    <row r="132" customFormat="false" ht="28.5" hidden="false" customHeight="true" outlineLevel="0" collapsed="false">
      <c r="A132" s="11" t="s">
        <v>283</v>
      </c>
      <c r="B132" s="12" t="s">
        <v>284</v>
      </c>
      <c r="C132" s="12" t="s">
        <v>71</v>
      </c>
      <c r="D132" s="13" t="s">
        <v>261</v>
      </c>
      <c r="E132" s="12" t="s">
        <v>970</v>
      </c>
      <c r="F132" s="12" t="s">
        <v>971</v>
      </c>
      <c r="G132" s="12" t="s">
        <v>112</v>
      </c>
      <c r="H132" s="13" t="s">
        <v>447</v>
      </c>
      <c r="I132" s="18" t="s">
        <v>1027</v>
      </c>
    </row>
    <row r="133" customFormat="false" ht="17.25" hidden="false" customHeight="true" outlineLevel="0" collapsed="false">
      <c r="A133" s="14" t="s">
        <v>289</v>
      </c>
      <c r="B133" s="15" t="s">
        <v>290</v>
      </c>
      <c r="C133" s="15" t="s">
        <v>71</v>
      </c>
      <c r="D133" s="16" t="s">
        <v>261</v>
      </c>
      <c r="E133" s="15" t="s">
        <v>603</v>
      </c>
      <c r="F133" s="15" t="s">
        <v>604</v>
      </c>
      <c r="G133" s="15" t="s">
        <v>112</v>
      </c>
      <c r="H133" s="16" t="s">
        <v>261</v>
      </c>
      <c r="I133" s="18" t="s">
        <v>1027</v>
      </c>
    </row>
    <row r="134" customFormat="false" ht="28.5" hidden="false" customHeight="true" outlineLevel="0" collapsed="false">
      <c r="A134" s="11" t="s">
        <v>296</v>
      </c>
      <c r="B134" s="12" t="s">
        <v>297</v>
      </c>
      <c r="C134" s="12" t="s">
        <v>71</v>
      </c>
      <c r="D134" s="13" t="s">
        <v>244</v>
      </c>
      <c r="E134" s="12" t="s">
        <v>301</v>
      </c>
      <c r="F134" s="12" t="s">
        <v>302</v>
      </c>
      <c r="G134" s="12" t="s">
        <v>71</v>
      </c>
      <c r="H134" s="13" t="s">
        <v>261</v>
      </c>
      <c r="I134" s="13" t="s">
        <v>1026</v>
      </c>
    </row>
    <row r="135" customFormat="false" ht="28.5" hidden="false" customHeight="true" outlineLevel="0" collapsed="false">
      <c r="A135" s="14" t="s">
        <v>422</v>
      </c>
      <c r="B135" s="15" t="s">
        <v>423</v>
      </c>
      <c r="C135" s="15" t="s">
        <v>89</v>
      </c>
      <c r="D135" s="16" t="s">
        <v>382</v>
      </c>
      <c r="E135" s="15" t="s">
        <v>430</v>
      </c>
      <c r="F135" s="15" t="s">
        <v>431</v>
      </c>
      <c r="G135" s="15" t="s">
        <v>89</v>
      </c>
      <c r="H135" s="16" t="s">
        <v>382</v>
      </c>
      <c r="I135" s="16" t="s">
        <v>1026</v>
      </c>
    </row>
    <row r="136" customFormat="false" ht="28.5" hidden="false" customHeight="true" outlineLevel="0" collapsed="false">
      <c r="A136" s="11" t="s">
        <v>422</v>
      </c>
      <c r="B136" s="12" t="s">
        <v>423</v>
      </c>
      <c r="C136" s="12" t="s">
        <v>89</v>
      </c>
      <c r="D136" s="13" t="s">
        <v>382</v>
      </c>
      <c r="E136" s="12" t="s">
        <v>435</v>
      </c>
      <c r="F136" s="12" t="s">
        <v>436</v>
      </c>
      <c r="G136" s="12" t="s">
        <v>89</v>
      </c>
      <c r="H136" s="13" t="s">
        <v>382</v>
      </c>
      <c r="I136" s="13" t="s">
        <v>1026</v>
      </c>
    </row>
    <row r="137" customFormat="false" ht="28.5" hidden="false" customHeight="true" outlineLevel="0" collapsed="false">
      <c r="A137" s="14" t="s">
        <v>422</v>
      </c>
      <c r="B137" s="15" t="s">
        <v>423</v>
      </c>
      <c r="C137" s="15" t="s">
        <v>89</v>
      </c>
      <c r="D137" s="16" t="s">
        <v>382</v>
      </c>
      <c r="E137" s="15" t="s">
        <v>474</v>
      </c>
      <c r="F137" s="15" t="s">
        <v>475</v>
      </c>
      <c r="G137" s="15" t="s">
        <v>89</v>
      </c>
      <c r="H137" s="16" t="s">
        <v>382</v>
      </c>
      <c r="I137" s="16" t="s">
        <v>1026</v>
      </c>
    </row>
    <row r="138" customFormat="false" ht="28.5" hidden="false" customHeight="true" outlineLevel="0" collapsed="false">
      <c r="A138" s="11" t="s">
        <v>422</v>
      </c>
      <c r="B138" s="12" t="s">
        <v>423</v>
      </c>
      <c r="C138" s="12" t="s">
        <v>89</v>
      </c>
      <c r="D138" s="13" t="s">
        <v>382</v>
      </c>
      <c r="E138" s="12" t="s">
        <v>481</v>
      </c>
      <c r="F138" s="12" t="s">
        <v>482</v>
      </c>
      <c r="G138" s="12" t="s">
        <v>89</v>
      </c>
      <c r="H138" s="13" t="s">
        <v>447</v>
      </c>
      <c r="I138" s="13" t="s">
        <v>1026</v>
      </c>
    </row>
    <row r="139" customFormat="false" ht="17.25" hidden="false" customHeight="true" outlineLevel="0" collapsed="false">
      <c r="A139" s="14" t="s">
        <v>430</v>
      </c>
      <c r="B139" s="15" t="s">
        <v>431</v>
      </c>
      <c r="C139" s="15" t="s">
        <v>89</v>
      </c>
      <c r="D139" s="16" t="s">
        <v>382</v>
      </c>
      <c r="E139" s="15" t="s">
        <v>441</v>
      </c>
      <c r="F139" s="15" t="s">
        <v>442</v>
      </c>
      <c r="G139" s="15" t="s">
        <v>89</v>
      </c>
      <c r="H139" s="16" t="s">
        <v>447</v>
      </c>
      <c r="I139" s="16" t="s">
        <v>1026</v>
      </c>
    </row>
    <row r="140" customFormat="false" ht="28.5" hidden="false" customHeight="true" outlineLevel="0" collapsed="false">
      <c r="A140" s="11" t="s">
        <v>430</v>
      </c>
      <c r="B140" s="12" t="s">
        <v>431</v>
      </c>
      <c r="C140" s="12" t="s">
        <v>89</v>
      </c>
      <c r="D140" s="13" t="s">
        <v>382</v>
      </c>
      <c r="E140" s="12" t="s">
        <v>481</v>
      </c>
      <c r="F140" s="12" t="s">
        <v>482</v>
      </c>
      <c r="G140" s="12" t="s">
        <v>89</v>
      </c>
      <c r="H140" s="13" t="s">
        <v>447</v>
      </c>
      <c r="I140" s="13" t="s">
        <v>1026</v>
      </c>
    </row>
    <row r="141" customFormat="false" ht="28.5" hidden="false" customHeight="true" outlineLevel="0" collapsed="false">
      <c r="A141" s="14" t="s">
        <v>435</v>
      </c>
      <c r="B141" s="15" t="s">
        <v>436</v>
      </c>
      <c r="C141" s="15" t="s">
        <v>89</v>
      </c>
      <c r="D141" s="16" t="s">
        <v>382</v>
      </c>
      <c r="E141" s="15" t="s">
        <v>481</v>
      </c>
      <c r="F141" s="15" t="s">
        <v>482</v>
      </c>
      <c r="G141" s="15" t="s">
        <v>89</v>
      </c>
      <c r="H141" s="16" t="s">
        <v>447</v>
      </c>
      <c r="I141" s="16" t="s">
        <v>1026</v>
      </c>
    </row>
    <row r="142" customFormat="false" ht="17.25" hidden="false" customHeight="true" outlineLevel="0" collapsed="false">
      <c r="A142" s="11" t="s">
        <v>441</v>
      </c>
      <c r="B142" s="12" t="s">
        <v>442</v>
      </c>
      <c r="C142" s="12" t="s">
        <v>89</v>
      </c>
      <c r="D142" s="13" t="s">
        <v>447</v>
      </c>
      <c r="E142" s="12" t="s">
        <v>450</v>
      </c>
      <c r="F142" s="12" t="s">
        <v>451</v>
      </c>
      <c r="G142" s="12" t="s">
        <v>89</v>
      </c>
      <c r="H142" s="13" t="s">
        <v>447</v>
      </c>
      <c r="I142" s="13" t="s">
        <v>1026</v>
      </c>
    </row>
    <row r="143" customFormat="false" ht="17.25" hidden="false" customHeight="true" outlineLevel="0" collapsed="false">
      <c r="A143" s="14" t="s">
        <v>441</v>
      </c>
      <c r="B143" s="15" t="s">
        <v>442</v>
      </c>
      <c r="C143" s="15" t="s">
        <v>89</v>
      </c>
      <c r="D143" s="16" t="s">
        <v>447</v>
      </c>
      <c r="E143" s="15" t="s">
        <v>455</v>
      </c>
      <c r="F143" s="15" t="s">
        <v>456</v>
      </c>
      <c r="G143" s="15" t="s">
        <v>89</v>
      </c>
      <c r="H143" s="16" t="s">
        <v>447</v>
      </c>
      <c r="I143" s="16" t="s">
        <v>1026</v>
      </c>
    </row>
    <row r="144" customFormat="false" ht="28.5" hidden="false" customHeight="true" outlineLevel="0" collapsed="false">
      <c r="A144" s="11" t="s">
        <v>441</v>
      </c>
      <c r="B144" s="12" t="s">
        <v>442</v>
      </c>
      <c r="C144" s="12" t="s">
        <v>89</v>
      </c>
      <c r="D144" s="13" t="s">
        <v>447</v>
      </c>
      <c r="E144" s="12" t="s">
        <v>481</v>
      </c>
      <c r="F144" s="12" t="s">
        <v>482</v>
      </c>
      <c r="G144" s="12" t="s">
        <v>89</v>
      </c>
      <c r="H144" s="13" t="s">
        <v>447</v>
      </c>
      <c r="I144" s="13" t="s">
        <v>1026</v>
      </c>
    </row>
    <row r="145" customFormat="false" ht="28.5" hidden="false" customHeight="true" outlineLevel="0" collapsed="false">
      <c r="A145" s="14" t="s">
        <v>450</v>
      </c>
      <c r="B145" s="15" t="s">
        <v>451</v>
      </c>
      <c r="C145" s="15" t="s">
        <v>89</v>
      </c>
      <c r="D145" s="16" t="s">
        <v>447</v>
      </c>
      <c r="E145" s="15" t="s">
        <v>481</v>
      </c>
      <c r="F145" s="15" t="s">
        <v>482</v>
      </c>
      <c r="G145" s="15" t="s">
        <v>89</v>
      </c>
      <c r="H145" s="16" t="s">
        <v>447</v>
      </c>
      <c r="I145" s="16" t="s">
        <v>1026</v>
      </c>
    </row>
    <row r="146" customFormat="false" ht="28.5" hidden="false" customHeight="true" outlineLevel="0" collapsed="false">
      <c r="A146" s="11" t="s">
        <v>455</v>
      </c>
      <c r="B146" s="12" t="s">
        <v>456</v>
      </c>
      <c r="C146" s="12" t="s">
        <v>89</v>
      </c>
      <c r="D146" s="13" t="s">
        <v>447</v>
      </c>
      <c r="E146" s="12" t="s">
        <v>461</v>
      </c>
      <c r="F146" s="12" t="s">
        <v>462</v>
      </c>
      <c r="G146" s="12" t="s">
        <v>89</v>
      </c>
      <c r="H146" s="13" t="s">
        <v>447</v>
      </c>
      <c r="I146" s="13" t="s">
        <v>1026</v>
      </c>
    </row>
    <row r="147" customFormat="false" ht="28.5" hidden="false" customHeight="true" outlineLevel="0" collapsed="false">
      <c r="A147" s="14" t="s">
        <v>455</v>
      </c>
      <c r="B147" s="15" t="s">
        <v>456</v>
      </c>
      <c r="C147" s="15" t="s">
        <v>89</v>
      </c>
      <c r="D147" s="16" t="s">
        <v>447</v>
      </c>
      <c r="E147" s="15" t="s">
        <v>481</v>
      </c>
      <c r="F147" s="15" t="s">
        <v>482</v>
      </c>
      <c r="G147" s="15" t="s">
        <v>89</v>
      </c>
      <c r="H147" s="16" t="s">
        <v>447</v>
      </c>
      <c r="I147" s="16" t="s">
        <v>1026</v>
      </c>
    </row>
    <row r="148" customFormat="false" ht="28.5" hidden="false" customHeight="true" outlineLevel="0" collapsed="false">
      <c r="A148" s="11" t="s">
        <v>461</v>
      </c>
      <c r="B148" s="12" t="s">
        <v>462</v>
      </c>
      <c r="C148" s="12" t="s">
        <v>89</v>
      </c>
      <c r="D148" s="13" t="s">
        <v>447</v>
      </c>
      <c r="E148" s="12" t="s">
        <v>468</v>
      </c>
      <c r="F148" s="12" t="s">
        <v>469</v>
      </c>
      <c r="G148" s="12" t="s">
        <v>89</v>
      </c>
      <c r="H148" s="13" t="s">
        <v>382</v>
      </c>
      <c r="I148" s="13" t="s">
        <v>1026</v>
      </c>
    </row>
    <row r="149" customFormat="false" ht="28.5" hidden="false" customHeight="true" outlineLevel="0" collapsed="false">
      <c r="A149" s="14" t="s">
        <v>461</v>
      </c>
      <c r="B149" s="15" t="s">
        <v>462</v>
      </c>
      <c r="C149" s="15" t="s">
        <v>89</v>
      </c>
      <c r="D149" s="16" t="s">
        <v>447</v>
      </c>
      <c r="E149" s="15" t="s">
        <v>481</v>
      </c>
      <c r="F149" s="15" t="s">
        <v>482</v>
      </c>
      <c r="G149" s="15" t="s">
        <v>89</v>
      </c>
      <c r="H149" s="16" t="s">
        <v>447</v>
      </c>
      <c r="I149" s="16" t="s">
        <v>1026</v>
      </c>
    </row>
    <row r="150" customFormat="false" ht="28.5" hidden="false" customHeight="true" outlineLevel="0" collapsed="false">
      <c r="A150" s="11" t="s">
        <v>468</v>
      </c>
      <c r="B150" s="12" t="s">
        <v>469</v>
      </c>
      <c r="C150" s="12" t="s">
        <v>89</v>
      </c>
      <c r="D150" s="13" t="s">
        <v>382</v>
      </c>
      <c r="E150" s="12" t="s">
        <v>481</v>
      </c>
      <c r="F150" s="12" t="s">
        <v>482</v>
      </c>
      <c r="G150" s="12" t="s">
        <v>89</v>
      </c>
      <c r="H150" s="13" t="s">
        <v>447</v>
      </c>
      <c r="I150" s="13" t="s">
        <v>1026</v>
      </c>
    </row>
    <row r="151" customFormat="false" ht="28.5" hidden="false" customHeight="true" outlineLevel="0" collapsed="false">
      <c r="A151" s="14" t="s">
        <v>474</v>
      </c>
      <c r="B151" s="15" t="s">
        <v>475</v>
      </c>
      <c r="C151" s="15" t="s">
        <v>89</v>
      </c>
      <c r="D151" s="16" t="s">
        <v>382</v>
      </c>
      <c r="E151" s="15" t="s">
        <v>481</v>
      </c>
      <c r="F151" s="15" t="s">
        <v>482</v>
      </c>
      <c r="G151" s="15" t="s">
        <v>89</v>
      </c>
      <c r="H151" s="16" t="s">
        <v>447</v>
      </c>
      <c r="I151" s="16" t="s">
        <v>1026</v>
      </c>
    </row>
    <row r="152" customFormat="false" ht="17.25" hidden="false" customHeight="true" outlineLevel="0" collapsed="false">
      <c r="A152" s="11" t="s">
        <v>307</v>
      </c>
      <c r="B152" s="12" t="s">
        <v>309</v>
      </c>
      <c r="C152" s="12" t="s">
        <v>80</v>
      </c>
      <c r="D152" s="13" t="s">
        <v>244</v>
      </c>
      <c r="E152" s="12" t="s">
        <v>317</v>
      </c>
      <c r="F152" s="12" t="s">
        <v>318</v>
      </c>
      <c r="G152" s="12" t="s">
        <v>80</v>
      </c>
      <c r="H152" s="13" t="s">
        <v>261</v>
      </c>
      <c r="I152" s="13" t="s">
        <v>1026</v>
      </c>
    </row>
    <row r="153" customFormat="false" ht="17.25" hidden="false" customHeight="true" outlineLevel="0" collapsed="false">
      <c r="A153" s="14" t="s">
        <v>307</v>
      </c>
      <c r="B153" s="15" t="s">
        <v>309</v>
      </c>
      <c r="C153" s="15" t="s">
        <v>80</v>
      </c>
      <c r="D153" s="16" t="s">
        <v>244</v>
      </c>
      <c r="E153" s="15" t="s">
        <v>407</v>
      </c>
      <c r="F153" s="15" t="s">
        <v>408</v>
      </c>
      <c r="G153" s="15" t="s">
        <v>80</v>
      </c>
      <c r="H153" s="16" t="s">
        <v>382</v>
      </c>
      <c r="I153" s="16" t="s">
        <v>1026</v>
      </c>
    </row>
    <row r="154" customFormat="false" ht="17.25" hidden="false" customHeight="true" outlineLevel="0" collapsed="false">
      <c r="A154" s="11" t="s">
        <v>307</v>
      </c>
      <c r="B154" s="12" t="s">
        <v>309</v>
      </c>
      <c r="C154" s="12" t="s">
        <v>80</v>
      </c>
      <c r="D154" s="13" t="s">
        <v>244</v>
      </c>
      <c r="E154" s="12" t="s">
        <v>416</v>
      </c>
      <c r="F154" s="12" t="s">
        <v>417</v>
      </c>
      <c r="G154" s="12" t="s">
        <v>80</v>
      </c>
      <c r="H154" s="13" t="s">
        <v>352</v>
      </c>
      <c r="I154" s="13" t="s">
        <v>1026</v>
      </c>
    </row>
    <row r="155" customFormat="false" ht="17.25" hidden="false" customHeight="true" outlineLevel="0" collapsed="false">
      <c r="A155" s="14" t="s">
        <v>317</v>
      </c>
      <c r="B155" s="15" t="s">
        <v>318</v>
      </c>
      <c r="C155" s="15" t="s">
        <v>80</v>
      </c>
      <c r="D155" s="16" t="s">
        <v>261</v>
      </c>
      <c r="E155" s="15" t="s">
        <v>323</v>
      </c>
      <c r="F155" s="15" t="s">
        <v>324</v>
      </c>
      <c r="G155" s="15" t="s">
        <v>80</v>
      </c>
      <c r="H155" s="16" t="s">
        <v>261</v>
      </c>
      <c r="I155" s="16" t="s">
        <v>1026</v>
      </c>
    </row>
    <row r="156" customFormat="false" ht="17.25" hidden="false" customHeight="true" outlineLevel="0" collapsed="false">
      <c r="A156" s="11" t="s">
        <v>317</v>
      </c>
      <c r="B156" s="12" t="s">
        <v>318</v>
      </c>
      <c r="C156" s="12" t="s">
        <v>80</v>
      </c>
      <c r="D156" s="13" t="s">
        <v>261</v>
      </c>
      <c r="E156" s="12" t="s">
        <v>416</v>
      </c>
      <c r="F156" s="12" t="s">
        <v>417</v>
      </c>
      <c r="G156" s="12" t="s">
        <v>80</v>
      </c>
      <c r="H156" s="13" t="s">
        <v>352</v>
      </c>
      <c r="I156" s="13" t="s">
        <v>1026</v>
      </c>
    </row>
    <row r="157" customFormat="false" ht="17.25" hidden="false" customHeight="true" outlineLevel="0" collapsed="false">
      <c r="A157" s="14" t="s">
        <v>323</v>
      </c>
      <c r="B157" s="15" t="s">
        <v>324</v>
      </c>
      <c r="C157" s="15" t="s">
        <v>80</v>
      </c>
      <c r="D157" s="16" t="s">
        <v>261</v>
      </c>
      <c r="E157" s="15" t="s">
        <v>330</v>
      </c>
      <c r="F157" s="15" t="s">
        <v>331</v>
      </c>
      <c r="G157" s="15" t="s">
        <v>80</v>
      </c>
      <c r="H157" s="16" t="s">
        <v>261</v>
      </c>
      <c r="I157" s="16" t="s">
        <v>1026</v>
      </c>
    </row>
    <row r="158" customFormat="false" ht="17.25" hidden="false" customHeight="true" outlineLevel="0" collapsed="false">
      <c r="A158" s="11" t="s">
        <v>323</v>
      </c>
      <c r="B158" s="12" t="s">
        <v>324</v>
      </c>
      <c r="C158" s="12" t="s">
        <v>80</v>
      </c>
      <c r="D158" s="13" t="s">
        <v>261</v>
      </c>
      <c r="E158" s="12" t="s">
        <v>416</v>
      </c>
      <c r="F158" s="12" t="s">
        <v>417</v>
      </c>
      <c r="G158" s="12" t="s">
        <v>80</v>
      </c>
      <c r="H158" s="13" t="s">
        <v>352</v>
      </c>
      <c r="I158" s="13" t="s">
        <v>1026</v>
      </c>
    </row>
    <row r="159" customFormat="false" ht="17.25" hidden="false" customHeight="true" outlineLevel="0" collapsed="false">
      <c r="A159" s="14" t="s">
        <v>330</v>
      </c>
      <c r="B159" s="15" t="s">
        <v>331</v>
      </c>
      <c r="C159" s="15" t="s">
        <v>80</v>
      </c>
      <c r="D159" s="16" t="s">
        <v>261</v>
      </c>
      <c r="E159" s="15" t="s">
        <v>335</v>
      </c>
      <c r="F159" s="15" t="s">
        <v>336</v>
      </c>
      <c r="G159" s="15" t="s">
        <v>80</v>
      </c>
      <c r="H159" s="16" t="s">
        <v>261</v>
      </c>
      <c r="I159" s="16" t="s">
        <v>1026</v>
      </c>
    </row>
    <row r="160" customFormat="false" ht="17.25" hidden="false" customHeight="true" outlineLevel="0" collapsed="false">
      <c r="A160" s="11" t="s">
        <v>330</v>
      </c>
      <c r="B160" s="12" t="s">
        <v>331</v>
      </c>
      <c r="C160" s="12" t="s">
        <v>80</v>
      </c>
      <c r="D160" s="13" t="s">
        <v>261</v>
      </c>
      <c r="E160" s="12" t="s">
        <v>340</v>
      </c>
      <c r="F160" s="12" t="s">
        <v>341</v>
      </c>
      <c r="G160" s="12" t="s">
        <v>80</v>
      </c>
      <c r="H160" s="13" t="s">
        <v>261</v>
      </c>
      <c r="I160" s="13" t="s">
        <v>1026</v>
      </c>
    </row>
    <row r="161" customFormat="false" ht="17.25" hidden="false" customHeight="true" outlineLevel="0" collapsed="false">
      <c r="A161" s="14" t="s">
        <v>330</v>
      </c>
      <c r="B161" s="15" t="s">
        <v>331</v>
      </c>
      <c r="C161" s="15" t="s">
        <v>80</v>
      </c>
      <c r="D161" s="16" t="s">
        <v>261</v>
      </c>
      <c r="E161" s="15" t="s">
        <v>416</v>
      </c>
      <c r="F161" s="15" t="s">
        <v>417</v>
      </c>
      <c r="G161" s="15" t="s">
        <v>80</v>
      </c>
      <c r="H161" s="16" t="s">
        <v>352</v>
      </c>
      <c r="I161" s="16" t="s">
        <v>1026</v>
      </c>
    </row>
    <row r="162" customFormat="false" ht="17.25" hidden="false" customHeight="true" outlineLevel="0" collapsed="false">
      <c r="A162" s="11" t="s">
        <v>335</v>
      </c>
      <c r="B162" s="12" t="s">
        <v>336</v>
      </c>
      <c r="C162" s="12" t="s">
        <v>80</v>
      </c>
      <c r="D162" s="13" t="s">
        <v>261</v>
      </c>
      <c r="E162" s="12" t="s">
        <v>416</v>
      </c>
      <c r="F162" s="12" t="s">
        <v>417</v>
      </c>
      <c r="G162" s="12" t="s">
        <v>80</v>
      </c>
      <c r="H162" s="13" t="s">
        <v>352</v>
      </c>
      <c r="I162" s="13" t="s">
        <v>1026</v>
      </c>
    </row>
    <row r="163" customFormat="false" ht="28.5" hidden="false" customHeight="true" outlineLevel="0" collapsed="false">
      <c r="A163" s="14" t="s">
        <v>340</v>
      </c>
      <c r="B163" s="15" t="s">
        <v>341</v>
      </c>
      <c r="C163" s="15" t="s">
        <v>80</v>
      </c>
      <c r="D163" s="16" t="s">
        <v>261</v>
      </c>
      <c r="E163" s="15" t="s">
        <v>422</v>
      </c>
      <c r="F163" s="15" t="s">
        <v>423</v>
      </c>
      <c r="G163" s="15" t="s">
        <v>89</v>
      </c>
      <c r="H163" s="16" t="s">
        <v>382</v>
      </c>
      <c r="I163" s="18" t="s">
        <v>1027</v>
      </c>
    </row>
    <row r="164" customFormat="false" ht="17.25" hidden="false" customHeight="true" outlineLevel="0" collapsed="false">
      <c r="A164" s="11" t="s">
        <v>340</v>
      </c>
      <c r="B164" s="12" t="s">
        <v>341</v>
      </c>
      <c r="C164" s="12" t="s">
        <v>80</v>
      </c>
      <c r="D164" s="13" t="s">
        <v>261</v>
      </c>
      <c r="E164" s="12" t="s">
        <v>416</v>
      </c>
      <c r="F164" s="12" t="s">
        <v>417</v>
      </c>
      <c r="G164" s="12" t="s">
        <v>80</v>
      </c>
      <c r="H164" s="13" t="s">
        <v>352</v>
      </c>
      <c r="I164" s="13" t="s">
        <v>1026</v>
      </c>
    </row>
    <row r="165" customFormat="false" ht="17.25" hidden="false" customHeight="true" outlineLevel="0" collapsed="false">
      <c r="A165" s="14" t="s">
        <v>346</v>
      </c>
      <c r="B165" s="15" t="s">
        <v>347</v>
      </c>
      <c r="C165" s="15" t="s">
        <v>80</v>
      </c>
      <c r="D165" s="16" t="s">
        <v>352</v>
      </c>
      <c r="E165" s="15" t="s">
        <v>355</v>
      </c>
      <c r="F165" s="15" t="s">
        <v>356</v>
      </c>
      <c r="G165" s="15" t="s">
        <v>80</v>
      </c>
      <c r="H165" s="16" t="s">
        <v>352</v>
      </c>
      <c r="I165" s="16" t="s">
        <v>1026</v>
      </c>
    </row>
    <row r="166" customFormat="false" ht="17.25" hidden="false" customHeight="true" outlineLevel="0" collapsed="false">
      <c r="A166" s="11" t="s">
        <v>346</v>
      </c>
      <c r="B166" s="12" t="s">
        <v>347</v>
      </c>
      <c r="C166" s="12" t="s">
        <v>80</v>
      </c>
      <c r="D166" s="13" t="s">
        <v>352</v>
      </c>
      <c r="E166" s="12" t="s">
        <v>416</v>
      </c>
      <c r="F166" s="12" t="s">
        <v>417</v>
      </c>
      <c r="G166" s="12" t="s">
        <v>80</v>
      </c>
      <c r="H166" s="13" t="s">
        <v>352</v>
      </c>
      <c r="I166" s="13" t="s">
        <v>1026</v>
      </c>
    </row>
    <row r="167" customFormat="false" ht="17.25" hidden="false" customHeight="true" outlineLevel="0" collapsed="false">
      <c r="A167" s="14" t="s">
        <v>355</v>
      </c>
      <c r="B167" s="15" t="s">
        <v>356</v>
      </c>
      <c r="C167" s="15" t="s">
        <v>80</v>
      </c>
      <c r="D167" s="16" t="s">
        <v>352</v>
      </c>
      <c r="E167" s="15" t="s">
        <v>362</v>
      </c>
      <c r="F167" s="15" t="s">
        <v>363</v>
      </c>
      <c r="G167" s="15" t="s">
        <v>80</v>
      </c>
      <c r="H167" s="16" t="s">
        <v>352</v>
      </c>
      <c r="I167" s="16" t="s">
        <v>1026</v>
      </c>
    </row>
    <row r="168" customFormat="false" ht="17.25" hidden="false" customHeight="true" outlineLevel="0" collapsed="false">
      <c r="A168" s="11" t="s">
        <v>355</v>
      </c>
      <c r="B168" s="12" t="s">
        <v>356</v>
      </c>
      <c r="C168" s="12" t="s">
        <v>80</v>
      </c>
      <c r="D168" s="13" t="s">
        <v>352</v>
      </c>
      <c r="E168" s="12" t="s">
        <v>369</v>
      </c>
      <c r="F168" s="12" t="s">
        <v>370</v>
      </c>
      <c r="G168" s="12" t="s">
        <v>80</v>
      </c>
      <c r="H168" s="13" t="s">
        <v>352</v>
      </c>
      <c r="I168" s="13" t="s">
        <v>1026</v>
      </c>
    </row>
    <row r="169" customFormat="false" ht="17.25" hidden="false" customHeight="true" outlineLevel="0" collapsed="false">
      <c r="A169" s="14" t="s">
        <v>355</v>
      </c>
      <c r="B169" s="15" t="s">
        <v>356</v>
      </c>
      <c r="C169" s="15" t="s">
        <v>80</v>
      </c>
      <c r="D169" s="16" t="s">
        <v>352</v>
      </c>
      <c r="E169" s="15" t="s">
        <v>416</v>
      </c>
      <c r="F169" s="15" t="s">
        <v>417</v>
      </c>
      <c r="G169" s="15" t="s">
        <v>80</v>
      </c>
      <c r="H169" s="16" t="s">
        <v>352</v>
      </c>
      <c r="I169" s="16" t="s">
        <v>1026</v>
      </c>
    </row>
    <row r="170" customFormat="false" ht="17.25" hidden="false" customHeight="true" outlineLevel="0" collapsed="false">
      <c r="A170" s="11" t="s">
        <v>362</v>
      </c>
      <c r="B170" s="12" t="s">
        <v>363</v>
      </c>
      <c r="C170" s="12" t="s">
        <v>80</v>
      </c>
      <c r="D170" s="13" t="s">
        <v>352</v>
      </c>
      <c r="E170" s="12" t="s">
        <v>416</v>
      </c>
      <c r="F170" s="12" t="s">
        <v>417</v>
      </c>
      <c r="G170" s="12" t="s">
        <v>80</v>
      </c>
      <c r="H170" s="13" t="s">
        <v>352</v>
      </c>
      <c r="I170" s="13" t="s">
        <v>1026</v>
      </c>
    </row>
    <row r="171" customFormat="false" ht="17.25" hidden="false" customHeight="true" outlineLevel="0" collapsed="false">
      <c r="A171" s="14" t="s">
        <v>369</v>
      </c>
      <c r="B171" s="15" t="s">
        <v>370</v>
      </c>
      <c r="C171" s="15" t="s">
        <v>80</v>
      </c>
      <c r="D171" s="16" t="s">
        <v>352</v>
      </c>
      <c r="E171" s="15" t="s">
        <v>416</v>
      </c>
      <c r="F171" s="15" t="s">
        <v>417</v>
      </c>
      <c r="G171" s="15" t="s">
        <v>80</v>
      </c>
      <c r="H171" s="16" t="s">
        <v>352</v>
      </c>
      <c r="I171" s="16" t="s">
        <v>1026</v>
      </c>
    </row>
    <row r="172" customFormat="false" ht="17.25" hidden="false" customHeight="true" outlineLevel="0" collapsed="false">
      <c r="A172" s="11" t="s">
        <v>376</v>
      </c>
      <c r="B172" s="12" t="s">
        <v>377</v>
      </c>
      <c r="C172" s="12" t="s">
        <v>80</v>
      </c>
      <c r="D172" s="13" t="s">
        <v>382</v>
      </c>
      <c r="E172" s="12" t="s">
        <v>416</v>
      </c>
      <c r="F172" s="12" t="s">
        <v>417</v>
      </c>
      <c r="G172" s="12" t="s">
        <v>80</v>
      </c>
      <c r="H172" s="13" t="s">
        <v>352</v>
      </c>
      <c r="I172" s="13" t="s">
        <v>1026</v>
      </c>
    </row>
    <row r="173" customFormat="false" ht="17.25" hidden="false" customHeight="true" outlineLevel="0" collapsed="false">
      <c r="A173" s="14" t="s">
        <v>385</v>
      </c>
      <c r="B173" s="15" t="s">
        <v>386</v>
      </c>
      <c r="C173" s="15" t="s">
        <v>80</v>
      </c>
      <c r="D173" s="16" t="s">
        <v>382</v>
      </c>
      <c r="E173" s="15" t="s">
        <v>416</v>
      </c>
      <c r="F173" s="15" t="s">
        <v>417</v>
      </c>
      <c r="G173" s="15" t="s">
        <v>80</v>
      </c>
      <c r="H173" s="16" t="s">
        <v>352</v>
      </c>
      <c r="I173" s="16" t="s">
        <v>1026</v>
      </c>
    </row>
    <row r="174" customFormat="false" ht="17.25" hidden="false" customHeight="true" outlineLevel="0" collapsed="false">
      <c r="A174" s="11" t="s">
        <v>383</v>
      </c>
      <c r="B174" s="12" t="s">
        <v>390</v>
      </c>
      <c r="C174" s="12" t="s">
        <v>80</v>
      </c>
      <c r="D174" s="13" t="s">
        <v>382</v>
      </c>
      <c r="E174" s="12" t="s">
        <v>376</v>
      </c>
      <c r="F174" s="12" t="s">
        <v>377</v>
      </c>
      <c r="G174" s="12" t="s">
        <v>80</v>
      </c>
      <c r="H174" s="13" t="s">
        <v>382</v>
      </c>
      <c r="I174" s="13" t="s">
        <v>1026</v>
      </c>
    </row>
    <row r="175" customFormat="false" ht="17.25" hidden="false" customHeight="true" outlineLevel="0" collapsed="false">
      <c r="A175" s="14" t="s">
        <v>383</v>
      </c>
      <c r="B175" s="15" t="s">
        <v>390</v>
      </c>
      <c r="C175" s="15" t="s">
        <v>80</v>
      </c>
      <c r="D175" s="16" t="s">
        <v>382</v>
      </c>
      <c r="E175" s="15" t="s">
        <v>385</v>
      </c>
      <c r="F175" s="15" t="s">
        <v>386</v>
      </c>
      <c r="G175" s="15" t="s">
        <v>80</v>
      </c>
      <c r="H175" s="16" t="s">
        <v>382</v>
      </c>
      <c r="I175" s="16" t="s">
        <v>1026</v>
      </c>
    </row>
    <row r="176" customFormat="false" ht="17.25" hidden="false" customHeight="true" outlineLevel="0" collapsed="false">
      <c r="A176" s="11" t="s">
        <v>383</v>
      </c>
      <c r="B176" s="12" t="s">
        <v>390</v>
      </c>
      <c r="C176" s="12" t="s">
        <v>80</v>
      </c>
      <c r="D176" s="13" t="s">
        <v>382</v>
      </c>
      <c r="E176" s="12" t="s">
        <v>395</v>
      </c>
      <c r="F176" s="12" t="s">
        <v>396</v>
      </c>
      <c r="G176" s="12" t="s">
        <v>80</v>
      </c>
      <c r="H176" s="13" t="s">
        <v>382</v>
      </c>
      <c r="I176" s="13" t="s">
        <v>1026</v>
      </c>
    </row>
    <row r="177" customFormat="false" ht="17.25" hidden="false" customHeight="true" outlineLevel="0" collapsed="false">
      <c r="A177" s="14" t="s">
        <v>383</v>
      </c>
      <c r="B177" s="15" t="s">
        <v>390</v>
      </c>
      <c r="C177" s="15" t="s">
        <v>80</v>
      </c>
      <c r="D177" s="16" t="s">
        <v>382</v>
      </c>
      <c r="E177" s="15" t="s">
        <v>416</v>
      </c>
      <c r="F177" s="15" t="s">
        <v>417</v>
      </c>
      <c r="G177" s="15" t="s">
        <v>80</v>
      </c>
      <c r="H177" s="16" t="s">
        <v>352</v>
      </c>
      <c r="I177" s="16" t="s">
        <v>1026</v>
      </c>
    </row>
    <row r="178" customFormat="false" ht="17.25" hidden="false" customHeight="true" outlineLevel="0" collapsed="false">
      <c r="A178" s="11" t="s">
        <v>395</v>
      </c>
      <c r="B178" s="12" t="s">
        <v>396</v>
      </c>
      <c r="C178" s="12" t="s">
        <v>80</v>
      </c>
      <c r="D178" s="13" t="s">
        <v>382</v>
      </c>
      <c r="E178" s="12" t="s">
        <v>416</v>
      </c>
      <c r="F178" s="12" t="s">
        <v>417</v>
      </c>
      <c r="G178" s="12" t="s">
        <v>80</v>
      </c>
      <c r="H178" s="13" t="s">
        <v>352</v>
      </c>
      <c r="I178" s="13" t="s">
        <v>1026</v>
      </c>
    </row>
    <row r="179" customFormat="false" ht="17.25" hidden="false" customHeight="true" outlineLevel="0" collapsed="false">
      <c r="A179" s="14" t="s">
        <v>401</v>
      </c>
      <c r="B179" s="15" t="s">
        <v>402</v>
      </c>
      <c r="C179" s="15" t="s">
        <v>80</v>
      </c>
      <c r="D179" s="16" t="s">
        <v>382</v>
      </c>
      <c r="E179" s="15" t="s">
        <v>416</v>
      </c>
      <c r="F179" s="15" t="s">
        <v>417</v>
      </c>
      <c r="G179" s="15" t="s">
        <v>80</v>
      </c>
      <c r="H179" s="16" t="s">
        <v>352</v>
      </c>
      <c r="I179" s="16" t="s">
        <v>1026</v>
      </c>
    </row>
    <row r="180" customFormat="false" ht="17.25" hidden="false" customHeight="true" outlineLevel="0" collapsed="false">
      <c r="A180" s="11" t="s">
        <v>407</v>
      </c>
      <c r="B180" s="12" t="s">
        <v>408</v>
      </c>
      <c r="C180" s="12" t="s">
        <v>80</v>
      </c>
      <c r="D180" s="13" t="s">
        <v>382</v>
      </c>
      <c r="E180" s="12" t="s">
        <v>416</v>
      </c>
      <c r="F180" s="12" t="s">
        <v>417</v>
      </c>
      <c r="G180" s="12" t="s">
        <v>80</v>
      </c>
      <c r="H180" s="13" t="s">
        <v>352</v>
      </c>
      <c r="I180" s="13" t="s">
        <v>1026</v>
      </c>
    </row>
    <row r="181" customFormat="false" ht="17.25" hidden="false" customHeight="true" outlineLevel="0" collapsed="false">
      <c r="A181" s="14" t="s">
        <v>411</v>
      </c>
      <c r="B181" s="15" t="s">
        <v>412</v>
      </c>
      <c r="C181" s="15" t="s">
        <v>80</v>
      </c>
      <c r="D181" s="16" t="s">
        <v>261</v>
      </c>
      <c r="E181" s="15" t="s">
        <v>416</v>
      </c>
      <c r="F181" s="15" t="s">
        <v>417</v>
      </c>
      <c r="G181" s="15" t="s">
        <v>80</v>
      </c>
      <c r="H181" s="16" t="s">
        <v>352</v>
      </c>
      <c r="I181" s="16" t="s">
        <v>1026</v>
      </c>
    </row>
    <row r="182" customFormat="false" ht="28.5" hidden="false" customHeight="true" outlineLevel="0" collapsed="false">
      <c r="A182" s="11" t="s">
        <v>551</v>
      </c>
      <c r="B182" s="12" t="s">
        <v>552</v>
      </c>
      <c r="C182" s="12" t="s">
        <v>105</v>
      </c>
      <c r="D182" s="13" t="s">
        <v>244</v>
      </c>
      <c r="E182" s="12" t="s">
        <v>558</v>
      </c>
      <c r="F182" s="12" t="s">
        <v>559</v>
      </c>
      <c r="G182" s="12" t="s">
        <v>105</v>
      </c>
      <c r="H182" s="13" t="s">
        <v>261</v>
      </c>
      <c r="I182" s="13" t="s">
        <v>1026</v>
      </c>
    </row>
    <row r="183" customFormat="false" ht="28.5" hidden="false" customHeight="true" outlineLevel="0" collapsed="false">
      <c r="A183" s="14" t="s">
        <v>551</v>
      </c>
      <c r="B183" s="15" t="s">
        <v>552</v>
      </c>
      <c r="C183" s="15" t="s">
        <v>105</v>
      </c>
      <c r="D183" s="16" t="s">
        <v>244</v>
      </c>
      <c r="E183" s="15" t="s">
        <v>586</v>
      </c>
      <c r="F183" s="15" t="s">
        <v>587</v>
      </c>
      <c r="G183" s="15" t="s">
        <v>105</v>
      </c>
      <c r="H183" s="16" t="s">
        <v>382</v>
      </c>
      <c r="I183" s="16" t="s">
        <v>1026</v>
      </c>
    </row>
    <row r="184" customFormat="false" ht="17.25" hidden="false" customHeight="true" outlineLevel="0" collapsed="false">
      <c r="A184" s="11" t="s">
        <v>558</v>
      </c>
      <c r="B184" s="12" t="s">
        <v>559</v>
      </c>
      <c r="C184" s="12" t="s">
        <v>105</v>
      </c>
      <c r="D184" s="13" t="s">
        <v>261</v>
      </c>
      <c r="E184" s="12" t="s">
        <v>564</v>
      </c>
      <c r="F184" s="12" t="s">
        <v>565</v>
      </c>
      <c r="G184" s="12" t="s">
        <v>105</v>
      </c>
      <c r="H184" s="13" t="s">
        <v>261</v>
      </c>
      <c r="I184" s="13" t="s">
        <v>1026</v>
      </c>
    </row>
    <row r="185" customFormat="false" ht="17.25" hidden="false" customHeight="true" outlineLevel="0" collapsed="false">
      <c r="A185" s="14" t="s">
        <v>558</v>
      </c>
      <c r="B185" s="15" t="s">
        <v>559</v>
      </c>
      <c r="C185" s="15" t="s">
        <v>105</v>
      </c>
      <c r="D185" s="16" t="s">
        <v>261</v>
      </c>
      <c r="E185" s="15" t="s">
        <v>581</v>
      </c>
      <c r="F185" s="15" t="s">
        <v>582</v>
      </c>
      <c r="G185" s="15" t="s">
        <v>105</v>
      </c>
      <c r="H185" s="16" t="s">
        <v>261</v>
      </c>
      <c r="I185" s="16" t="s">
        <v>1026</v>
      </c>
    </row>
    <row r="186" customFormat="false" ht="28.5" hidden="false" customHeight="true" outlineLevel="0" collapsed="false">
      <c r="A186" s="11" t="s">
        <v>558</v>
      </c>
      <c r="B186" s="12" t="s">
        <v>559</v>
      </c>
      <c r="C186" s="12" t="s">
        <v>105</v>
      </c>
      <c r="D186" s="13" t="s">
        <v>261</v>
      </c>
      <c r="E186" s="12" t="s">
        <v>586</v>
      </c>
      <c r="F186" s="12" t="s">
        <v>587</v>
      </c>
      <c r="G186" s="12" t="s">
        <v>105</v>
      </c>
      <c r="H186" s="13" t="s">
        <v>382</v>
      </c>
      <c r="I186" s="13" t="s">
        <v>1026</v>
      </c>
    </row>
    <row r="187" customFormat="false" ht="17.25" hidden="false" customHeight="true" outlineLevel="0" collapsed="false">
      <c r="A187" s="14" t="s">
        <v>564</v>
      </c>
      <c r="B187" s="15" t="s">
        <v>565</v>
      </c>
      <c r="C187" s="15" t="s">
        <v>105</v>
      </c>
      <c r="D187" s="16" t="s">
        <v>261</v>
      </c>
      <c r="E187" s="15" t="s">
        <v>571</v>
      </c>
      <c r="F187" s="15" t="s">
        <v>572</v>
      </c>
      <c r="G187" s="15" t="s">
        <v>105</v>
      </c>
      <c r="H187" s="16" t="s">
        <v>261</v>
      </c>
      <c r="I187" s="16" t="s">
        <v>1026</v>
      </c>
    </row>
    <row r="188" customFormat="false" ht="17.25" hidden="false" customHeight="true" outlineLevel="0" collapsed="false">
      <c r="A188" s="11" t="s">
        <v>564</v>
      </c>
      <c r="B188" s="12" t="s">
        <v>565</v>
      </c>
      <c r="C188" s="12" t="s">
        <v>105</v>
      </c>
      <c r="D188" s="13" t="s">
        <v>261</v>
      </c>
      <c r="E188" s="12" t="s">
        <v>577</v>
      </c>
      <c r="F188" s="12" t="s">
        <v>578</v>
      </c>
      <c r="G188" s="12" t="s">
        <v>105</v>
      </c>
      <c r="H188" s="13" t="s">
        <v>261</v>
      </c>
      <c r="I188" s="13" t="s">
        <v>1026</v>
      </c>
    </row>
    <row r="189" customFormat="false" ht="28.5" hidden="false" customHeight="true" outlineLevel="0" collapsed="false">
      <c r="A189" s="14" t="s">
        <v>564</v>
      </c>
      <c r="B189" s="15" t="s">
        <v>565</v>
      </c>
      <c r="C189" s="15" t="s">
        <v>105</v>
      </c>
      <c r="D189" s="16" t="s">
        <v>261</v>
      </c>
      <c r="E189" s="15" t="s">
        <v>586</v>
      </c>
      <c r="F189" s="15" t="s">
        <v>587</v>
      </c>
      <c r="G189" s="15" t="s">
        <v>105</v>
      </c>
      <c r="H189" s="16" t="s">
        <v>382</v>
      </c>
      <c r="I189" s="16" t="s">
        <v>1026</v>
      </c>
    </row>
    <row r="190" customFormat="false" ht="28.5" hidden="false" customHeight="true" outlineLevel="0" collapsed="false">
      <c r="A190" s="11" t="s">
        <v>571</v>
      </c>
      <c r="B190" s="12" t="s">
        <v>572</v>
      </c>
      <c r="C190" s="12" t="s">
        <v>105</v>
      </c>
      <c r="D190" s="13" t="s">
        <v>261</v>
      </c>
      <c r="E190" s="12" t="s">
        <v>586</v>
      </c>
      <c r="F190" s="12" t="s">
        <v>587</v>
      </c>
      <c r="G190" s="12" t="s">
        <v>105</v>
      </c>
      <c r="H190" s="13" t="s">
        <v>382</v>
      </c>
      <c r="I190" s="13" t="s">
        <v>1026</v>
      </c>
    </row>
    <row r="191" customFormat="false" ht="28.5" hidden="false" customHeight="true" outlineLevel="0" collapsed="false">
      <c r="A191" s="14" t="s">
        <v>577</v>
      </c>
      <c r="B191" s="15" t="s">
        <v>578</v>
      </c>
      <c r="C191" s="15" t="s">
        <v>105</v>
      </c>
      <c r="D191" s="16" t="s">
        <v>261</v>
      </c>
      <c r="E191" s="15" t="s">
        <v>586</v>
      </c>
      <c r="F191" s="15" t="s">
        <v>587</v>
      </c>
      <c r="G191" s="15" t="s">
        <v>105</v>
      </c>
      <c r="H191" s="16" t="s">
        <v>382</v>
      </c>
      <c r="I191" s="16" t="s">
        <v>1026</v>
      </c>
    </row>
    <row r="192" customFormat="false" ht="28.5" hidden="false" customHeight="true" outlineLevel="0" collapsed="false">
      <c r="A192" s="11" t="s">
        <v>581</v>
      </c>
      <c r="B192" s="12" t="s">
        <v>582</v>
      </c>
      <c r="C192" s="12" t="s">
        <v>105</v>
      </c>
      <c r="D192" s="13" t="s">
        <v>261</v>
      </c>
      <c r="E192" s="12" t="s">
        <v>586</v>
      </c>
      <c r="F192" s="12" t="s">
        <v>587</v>
      </c>
      <c r="G192" s="12" t="s">
        <v>105</v>
      </c>
      <c r="H192" s="13" t="s">
        <v>382</v>
      </c>
      <c r="I192" s="13" t="s">
        <v>1026</v>
      </c>
    </row>
  </sheetData>
  <autoFilter ref="A1:I19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9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3" min="3" style="0" width="18"/>
    <col collapsed="false" customWidth="true" hidden="false" outlineLevel="0" max="4" min="4" style="0" width="26"/>
    <col collapsed="false" customWidth="true" hidden="false" outlineLevel="0" max="5" min="5" style="0" width="8"/>
  </cols>
  <sheetData>
    <row r="1" customFormat="false" ht="30" hidden="false" customHeight="true" outlineLevel="0" collapsed="false">
      <c r="A1" s="10" t="s">
        <v>1028</v>
      </c>
      <c r="B1" s="10" t="s">
        <v>1029</v>
      </c>
      <c r="C1" s="10" t="s">
        <v>61</v>
      </c>
      <c r="D1" s="10" t="s">
        <v>45</v>
      </c>
      <c r="E1" s="10" t="s">
        <v>1030</v>
      </c>
    </row>
    <row r="2" customFormat="false" ht="17.25" hidden="false" customHeight="true" outlineLevel="0" collapsed="false">
      <c r="A2" s="11" t="s">
        <v>536</v>
      </c>
      <c r="B2" s="12" t="s">
        <v>292</v>
      </c>
      <c r="C2" s="12" t="s">
        <v>96</v>
      </c>
      <c r="D2" s="12" t="s">
        <v>534</v>
      </c>
      <c r="E2" s="13" t="n">
        <v>1</v>
      </c>
    </row>
    <row r="3" customFormat="false" ht="17.25" hidden="false" customHeight="true" outlineLevel="0" collapsed="false">
      <c r="A3" s="14" t="s">
        <v>797</v>
      </c>
      <c r="B3" s="15" t="s">
        <v>292</v>
      </c>
      <c r="C3" s="15" t="s">
        <v>112</v>
      </c>
      <c r="D3" s="15" t="s">
        <v>794</v>
      </c>
      <c r="E3" s="16" t="n">
        <v>1</v>
      </c>
    </row>
    <row r="4" customFormat="false" ht="17.25" hidden="false" customHeight="true" outlineLevel="0" collapsed="false">
      <c r="A4" s="11" t="s">
        <v>250</v>
      </c>
      <c r="B4" s="12" t="s">
        <v>292</v>
      </c>
      <c r="C4" s="12" t="s">
        <v>71</v>
      </c>
      <c r="D4" s="12" t="s">
        <v>248</v>
      </c>
      <c r="E4" s="13" t="n">
        <v>1</v>
      </c>
    </row>
    <row r="5" customFormat="false" ht="17.25" hidden="false" customHeight="true" outlineLevel="0" collapsed="false">
      <c r="A5" s="14" t="s">
        <v>636</v>
      </c>
      <c r="B5" s="15" t="s">
        <v>292</v>
      </c>
      <c r="C5" s="15" t="s">
        <v>112</v>
      </c>
      <c r="D5" s="15" t="s">
        <v>634</v>
      </c>
      <c r="E5" s="16" t="n">
        <v>1</v>
      </c>
    </row>
    <row r="6" customFormat="false" ht="28.5" hidden="false" customHeight="true" outlineLevel="0" collapsed="false">
      <c r="A6" s="11" t="s">
        <v>748</v>
      </c>
      <c r="B6" s="12" t="s">
        <v>1031</v>
      </c>
      <c r="C6" s="12" t="s">
        <v>112</v>
      </c>
      <c r="D6" s="12" t="s">
        <v>746</v>
      </c>
      <c r="E6" s="13" t="n">
        <v>1</v>
      </c>
    </row>
    <row r="7" customFormat="false" ht="17.25" hidden="false" customHeight="true" outlineLevel="0" collapsed="false">
      <c r="A7" s="14" t="s">
        <v>1032</v>
      </c>
      <c r="B7" s="15" t="s">
        <v>1033</v>
      </c>
      <c r="C7" s="15" t="s">
        <v>112</v>
      </c>
      <c r="D7" s="15" t="s">
        <v>641</v>
      </c>
      <c r="E7" s="16" t="n">
        <v>1</v>
      </c>
    </row>
    <row r="8" customFormat="false" ht="17.25" hidden="false" customHeight="true" outlineLevel="0" collapsed="false">
      <c r="A8" s="11" t="s">
        <v>1034</v>
      </c>
      <c r="B8" s="12" t="s">
        <v>1035</v>
      </c>
      <c r="C8" s="12" t="s">
        <v>112</v>
      </c>
      <c r="D8" s="12" t="s">
        <v>649</v>
      </c>
      <c r="E8" s="13" t="n">
        <v>1</v>
      </c>
    </row>
    <row r="9" customFormat="false" ht="17.25" hidden="false" customHeight="true" outlineLevel="0" collapsed="false">
      <c r="A9" s="14" t="s">
        <v>1036</v>
      </c>
      <c r="B9" s="15" t="s">
        <v>1037</v>
      </c>
      <c r="C9" s="15" t="s">
        <v>112</v>
      </c>
      <c r="D9" s="15" t="s">
        <v>664</v>
      </c>
      <c r="E9" s="16" t="n">
        <v>1</v>
      </c>
    </row>
    <row r="10" customFormat="false" ht="17.25" hidden="false" customHeight="true" outlineLevel="0" collapsed="false">
      <c r="A10" s="11" t="s">
        <v>1038</v>
      </c>
      <c r="B10" s="12" t="s">
        <v>1039</v>
      </c>
      <c r="C10" s="12" t="s">
        <v>112</v>
      </c>
      <c r="D10" s="12" t="s">
        <v>657</v>
      </c>
      <c r="E10" s="13" t="n">
        <v>1</v>
      </c>
    </row>
    <row r="11" customFormat="false" ht="17.25" hidden="false" customHeight="true" outlineLevel="0" collapsed="false">
      <c r="A11" s="14" t="s">
        <v>1040</v>
      </c>
      <c r="B11" s="15" t="s">
        <v>1041</v>
      </c>
      <c r="C11" s="15" t="s">
        <v>112</v>
      </c>
      <c r="D11" s="15" t="s">
        <v>609</v>
      </c>
      <c r="E11" s="16" t="n">
        <v>1</v>
      </c>
    </row>
    <row r="12" customFormat="false" ht="17.25" hidden="false" customHeight="true" outlineLevel="0" collapsed="false">
      <c r="A12" s="11" t="s">
        <v>1042</v>
      </c>
      <c r="B12" s="12" t="s">
        <v>1043</v>
      </c>
      <c r="C12" s="12" t="s">
        <v>112</v>
      </c>
      <c r="D12" s="12" t="s">
        <v>682</v>
      </c>
      <c r="E12" s="13" t="n">
        <v>1</v>
      </c>
    </row>
    <row r="13" customFormat="false" ht="17.25" hidden="false" customHeight="true" outlineLevel="0" collapsed="false">
      <c r="A13" s="14" t="s">
        <v>1044</v>
      </c>
      <c r="B13" s="15" t="s">
        <v>292</v>
      </c>
      <c r="C13" s="15" t="s">
        <v>112</v>
      </c>
      <c r="D13" s="15" t="s">
        <v>810</v>
      </c>
      <c r="E13" s="16" t="n">
        <v>1</v>
      </c>
    </row>
    <row r="14" customFormat="false" ht="17.25" hidden="false" customHeight="true" outlineLevel="0" collapsed="false">
      <c r="A14" s="11" t="s">
        <v>1045</v>
      </c>
      <c r="B14" s="12" t="s">
        <v>292</v>
      </c>
      <c r="C14" s="12" t="s">
        <v>112</v>
      </c>
      <c r="D14" s="12" t="s">
        <v>817</v>
      </c>
      <c r="E14" s="13" t="n">
        <v>1</v>
      </c>
    </row>
    <row r="15" customFormat="false" ht="17.25" hidden="false" customHeight="true" outlineLevel="0" collapsed="false">
      <c r="A15" s="14" t="s">
        <v>1046</v>
      </c>
      <c r="B15" s="15" t="s">
        <v>292</v>
      </c>
      <c r="C15" s="15" t="s">
        <v>112</v>
      </c>
      <c r="D15" s="15" t="s">
        <v>854</v>
      </c>
      <c r="E15" s="16" t="n">
        <v>1</v>
      </c>
    </row>
    <row r="16" customFormat="false" ht="17.25" hidden="false" customHeight="true" outlineLevel="0" collapsed="false">
      <c r="A16" s="11" t="s">
        <v>1047</v>
      </c>
      <c r="B16" s="12" t="s">
        <v>292</v>
      </c>
      <c r="C16" s="12" t="s">
        <v>112</v>
      </c>
      <c r="D16" s="12" t="s">
        <v>823</v>
      </c>
      <c r="E16" s="13" t="n">
        <v>1</v>
      </c>
    </row>
    <row r="17" customFormat="false" ht="17.25" hidden="false" customHeight="true" outlineLevel="0" collapsed="false">
      <c r="A17" s="14" t="s">
        <v>1048</v>
      </c>
      <c r="B17" s="15" t="s">
        <v>292</v>
      </c>
      <c r="C17" s="15" t="s">
        <v>112</v>
      </c>
      <c r="D17" s="15" t="s">
        <v>828</v>
      </c>
      <c r="E17" s="16" t="n">
        <v>1</v>
      </c>
    </row>
    <row r="18" customFormat="false" ht="17.25" hidden="false" customHeight="true" outlineLevel="0" collapsed="false">
      <c r="A18" s="11" t="s">
        <v>1049</v>
      </c>
      <c r="B18" s="12" t="s">
        <v>292</v>
      </c>
      <c r="C18" s="12" t="s">
        <v>112</v>
      </c>
      <c r="D18" s="12" t="s">
        <v>833</v>
      </c>
      <c r="E18" s="13" t="n">
        <v>1</v>
      </c>
    </row>
    <row r="19" customFormat="false" ht="17.25" hidden="false" customHeight="true" outlineLevel="0" collapsed="false">
      <c r="A19" s="14" t="s">
        <v>1050</v>
      </c>
      <c r="B19" s="15" t="s">
        <v>292</v>
      </c>
      <c r="C19" s="15" t="s">
        <v>112</v>
      </c>
      <c r="D19" s="15" t="s">
        <v>838</v>
      </c>
      <c r="E19" s="16" t="n">
        <v>1</v>
      </c>
    </row>
    <row r="20" customFormat="false" ht="17.25" hidden="false" customHeight="true" outlineLevel="0" collapsed="false">
      <c r="A20" s="11" t="s">
        <v>1051</v>
      </c>
      <c r="B20" s="12" t="s">
        <v>292</v>
      </c>
      <c r="C20" s="12" t="s">
        <v>112</v>
      </c>
      <c r="D20" s="12" t="s">
        <v>841</v>
      </c>
      <c r="E20" s="13" t="n">
        <v>1</v>
      </c>
    </row>
    <row r="21" customFormat="false" ht="17.25" hidden="false" customHeight="true" outlineLevel="0" collapsed="false">
      <c r="A21" s="14" t="s">
        <v>1052</v>
      </c>
      <c r="B21" s="15" t="s">
        <v>1053</v>
      </c>
      <c r="C21" s="15" t="s">
        <v>112</v>
      </c>
      <c r="D21" s="15" t="s">
        <v>1054</v>
      </c>
      <c r="E21" s="16" t="n">
        <v>3</v>
      </c>
    </row>
    <row r="22" customFormat="false" ht="17.25" hidden="false" customHeight="true" outlineLevel="0" collapsed="false">
      <c r="A22" s="11" t="s">
        <v>1055</v>
      </c>
      <c r="B22" s="12" t="s">
        <v>1056</v>
      </c>
      <c r="C22" s="12" t="s">
        <v>112</v>
      </c>
      <c r="D22" s="12" t="s">
        <v>922</v>
      </c>
      <c r="E22" s="13" t="n">
        <v>1</v>
      </c>
    </row>
    <row r="23" customFormat="false" ht="17.25" hidden="false" customHeight="true" outlineLevel="0" collapsed="false">
      <c r="A23" s="14" t="s">
        <v>1057</v>
      </c>
      <c r="B23" s="15" t="s">
        <v>1056</v>
      </c>
      <c r="C23" s="15" t="s">
        <v>112</v>
      </c>
      <c r="D23" s="15" t="s">
        <v>915</v>
      </c>
      <c r="E23" s="16" t="n">
        <v>1</v>
      </c>
    </row>
    <row r="24" customFormat="false" ht="17.25" hidden="false" customHeight="true" outlineLevel="0" collapsed="false">
      <c r="A24" s="11" t="s">
        <v>1058</v>
      </c>
      <c r="B24" s="12" t="s">
        <v>292</v>
      </c>
      <c r="C24" s="12" t="s">
        <v>112</v>
      </c>
      <c r="D24" s="12" t="s">
        <v>929</v>
      </c>
      <c r="E24" s="13" t="n">
        <v>1</v>
      </c>
    </row>
    <row r="25" customFormat="false" ht="17.25" hidden="false" customHeight="true" outlineLevel="0" collapsed="false">
      <c r="A25" s="14" t="s">
        <v>979</v>
      </c>
      <c r="B25" s="15" t="s">
        <v>292</v>
      </c>
      <c r="C25" s="15" t="s">
        <v>112</v>
      </c>
      <c r="D25" s="15" t="s">
        <v>977</v>
      </c>
      <c r="E25" s="16" t="n">
        <v>1</v>
      </c>
    </row>
    <row r="26" customFormat="false" ht="17.25" hidden="false" customHeight="true" outlineLevel="0" collapsed="false">
      <c r="A26" s="11" t="s">
        <v>972</v>
      </c>
      <c r="B26" s="12" t="s">
        <v>292</v>
      </c>
      <c r="C26" s="12" t="s">
        <v>112</v>
      </c>
      <c r="D26" s="12" t="s">
        <v>970</v>
      </c>
      <c r="E26" s="13" t="n">
        <v>1</v>
      </c>
    </row>
    <row r="27" customFormat="false" ht="17.25" hidden="false" customHeight="true" outlineLevel="0" collapsed="false">
      <c r="A27" s="14" t="s">
        <v>1059</v>
      </c>
      <c r="B27" s="15" t="s">
        <v>292</v>
      </c>
      <c r="C27" s="15" t="s">
        <v>112</v>
      </c>
      <c r="D27" s="15" t="s">
        <v>964</v>
      </c>
      <c r="E27" s="16" t="n">
        <v>1</v>
      </c>
    </row>
    <row r="28" customFormat="false" ht="17.25" hidden="false" customHeight="true" outlineLevel="0" collapsed="false">
      <c r="A28" s="11" t="s">
        <v>986</v>
      </c>
      <c r="B28" s="12" t="s">
        <v>292</v>
      </c>
      <c r="C28" s="12" t="s">
        <v>112</v>
      </c>
      <c r="D28" s="12" t="s">
        <v>984</v>
      </c>
      <c r="E28" s="13" t="n">
        <v>1</v>
      </c>
    </row>
    <row r="29" customFormat="false" ht="17.25" hidden="false" customHeight="true" outlineLevel="0" collapsed="false">
      <c r="A29" s="14" t="s">
        <v>1060</v>
      </c>
      <c r="B29" s="15" t="s">
        <v>292</v>
      </c>
      <c r="C29" s="15" t="s">
        <v>112</v>
      </c>
      <c r="D29" s="15" t="s">
        <v>991</v>
      </c>
      <c r="E29" s="16" t="n">
        <v>1</v>
      </c>
    </row>
    <row r="30" customFormat="false" ht="17.25" hidden="false" customHeight="true" outlineLevel="0" collapsed="false">
      <c r="A30" s="11" t="s">
        <v>1061</v>
      </c>
      <c r="B30" s="12" t="s">
        <v>292</v>
      </c>
      <c r="C30" s="12" t="s">
        <v>112</v>
      </c>
      <c r="D30" s="12" t="s">
        <v>888</v>
      </c>
      <c r="E30" s="13" t="n">
        <v>1</v>
      </c>
    </row>
    <row r="31" customFormat="false" ht="17.25" hidden="false" customHeight="true" outlineLevel="0" collapsed="false">
      <c r="A31" s="14" t="s">
        <v>877</v>
      </c>
      <c r="B31" s="15" t="s">
        <v>292</v>
      </c>
      <c r="C31" s="15" t="s">
        <v>112</v>
      </c>
      <c r="D31" s="15" t="s">
        <v>875</v>
      </c>
      <c r="E31" s="16" t="n">
        <v>1</v>
      </c>
    </row>
    <row r="32" customFormat="false" ht="17.25" hidden="false" customHeight="true" outlineLevel="0" collapsed="false">
      <c r="A32" s="11" t="s">
        <v>937</v>
      </c>
      <c r="B32" s="12" t="s">
        <v>292</v>
      </c>
      <c r="C32" s="12" t="s">
        <v>112</v>
      </c>
      <c r="D32" s="12" t="s">
        <v>935</v>
      </c>
      <c r="E32" s="13" t="n">
        <v>1</v>
      </c>
    </row>
    <row r="33" customFormat="false" ht="17.25" hidden="false" customHeight="true" outlineLevel="0" collapsed="false">
      <c r="A33" s="14" t="s">
        <v>942</v>
      </c>
      <c r="B33" s="15" t="s">
        <v>292</v>
      </c>
      <c r="C33" s="15" t="s">
        <v>112</v>
      </c>
      <c r="D33" s="15" t="s">
        <v>940</v>
      </c>
      <c r="E33" s="16" t="n">
        <v>1</v>
      </c>
    </row>
    <row r="34" customFormat="false" ht="17.25" hidden="false" customHeight="true" outlineLevel="0" collapsed="false">
      <c r="A34" s="11" t="s">
        <v>1062</v>
      </c>
      <c r="B34" s="12" t="s">
        <v>292</v>
      </c>
      <c r="C34" s="12" t="s">
        <v>112</v>
      </c>
      <c r="D34" s="12" t="s">
        <v>947</v>
      </c>
      <c r="E34" s="13" t="n">
        <v>1</v>
      </c>
    </row>
    <row r="35" customFormat="false" ht="17.25" hidden="false" customHeight="true" outlineLevel="0" collapsed="false">
      <c r="A35" s="14" t="s">
        <v>955</v>
      </c>
      <c r="B35" s="15" t="s">
        <v>292</v>
      </c>
      <c r="C35" s="15" t="s">
        <v>112</v>
      </c>
      <c r="D35" s="15" t="s">
        <v>953</v>
      </c>
      <c r="E35" s="16" t="n">
        <v>1</v>
      </c>
    </row>
    <row r="36" customFormat="false" ht="17.25" hidden="false" customHeight="true" outlineLevel="0" collapsed="false">
      <c r="A36" s="11" t="s">
        <v>960</v>
      </c>
      <c r="B36" s="12" t="s">
        <v>292</v>
      </c>
      <c r="C36" s="12" t="s">
        <v>112</v>
      </c>
      <c r="D36" s="12" t="s">
        <v>958</v>
      </c>
      <c r="E36" s="13" t="n">
        <v>1</v>
      </c>
    </row>
    <row r="37" customFormat="false" ht="17.25" hidden="false" customHeight="true" outlineLevel="0" collapsed="false">
      <c r="A37" s="14" t="s">
        <v>1063</v>
      </c>
      <c r="B37" s="15" t="s">
        <v>292</v>
      </c>
      <c r="C37" s="15" t="s">
        <v>112</v>
      </c>
      <c r="D37" s="15" t="s">
        <v>882</v>
      </c>
      <c r="E37" s="16" t="n">
        <v>1</v>
      </c>
    </row>
    <row r="38" customFormat="false" ht="17.25" hidden="false" customHeight="true" outlineLevel="0" collapsed="false">
      <c r="A38" s="11" t="s">
        <v>1064</v>
      </c>
      <c r="B38" s="12" t="s">
        <v>1065</v>
      </c>
      <c r="C38" s="12" t="s">
        <v>112</v>
      </c>
      <c r="D38" s="12" t="s">
        <v>669</v>
      </c>
      <c r="E38" s="13" t="n">
        <v>1</v>
      </c>
    </row>
    <row r="39" customFormat="false" ht="17.25" hidden="false" customHeight="true" outlineLevel="0" collapsed="false">
      <c r="A39" s="14" t="s">
        <v>1066</v>
      </c>
      <c r="B39" s="15" t="s">
        <v>1067</v>
      </c>
      <c r="C39" s="15" t="s">
        <v>112</v>
      </c>
      <c r="D39" s="15" t="s">
        <v>676</v>
      </c>
      <c r="E39" s="16" t="n">
        <v>1</v>
      </c>
    </row>
    <row r="40" customFormat="false" ht="17.25" hidden="false" customHeight="true" outlineLevel="0" collapsed="false">
      <c r="A40" s="11" t="s">
        <v>1068</v>
      </c>
      <c r="B40" s="12" t="s">
        <v>1069</v>
      </c>
      <c r="C40" s="12" t="s">
        <v>112</v>
      </c>
      <c r="D40" s="12" t="s">
        <v>688</v>
      </c>
      <c r="E40" s="13" t="n">
        <v>1</v>
      </c>
    </row>
    <row r="41" customFormat="false" ht="17.25" hidden="false" customHeight="true" outlineLevel="0" collapsed="false">
      <c r="A41" s="14" t="s">
        <v>1070</v>
      </c>
      <c r="B41" s="15" t="s">
        <v>292</v>
      </c>
      <c r="C41" s="15" t="s">
        <v>112</v>
      </c>
      <c r="D41" s="15" t="s">
        <v>694</v>
      </c>
      <c r="E41" s="16" t="n">
        <v>1</v>
      </c>
    </row>
    <row r="42" customFormat="false" ht="17.25" hidden="false" customHeight="true" outlineLevel="0" collapsed="false">
      <c r="A42" s="11" t="s">
        <v>1071</v>
      </c>
      <c r="B42" s="12" t="s">
        <v>1072</v>
      </c>
      <c r="C42" s="12" t="s">
        <v>96</v>
      </c>
      <c r="D42" s="12" t="s">
        <v>492</v>
      </c>
      <c r="E42" s="13" t="n">
        <v>1</v>
      </c>
    </row>
    <row r="43" customFormat="false" ht="17.25" hidden="false" customHeight="true" outlineLevel="0" collapsed="false">
      <c r="A43" s="14" t="s">
        <v>1073</v>
      </c>
      <c r="B43" s="15" t="s">
        <v>1074</v>
      </c>
      <c r="C43" s="15" t="s">
        <v>96</v>
      </c>
      <c r="D43" s="15" t="s">
        <v>500</v>
      </c>
      <c r="E43" s="16" t="n">
        <v>1</v>
      </c>
    </row>
    <row r="44" customFormat="false" ht="17.25" hidden="false" customHeight="true" outlineLevel="0" collapsed="false">
      <c r="A44" s="11" t="s">
        <v>1075</v>
      </c>
      <c r="B44" s="12" t="s">
        <v>1076</v>
      </c>
      <c r="C44" s="12" t="s">
        <v>80</v>
      </c>
      <c r="D44" s="12" t="s">
        <v>323</v>
      </c>
      <c r="E44" s="13" t="n">
        <v>1</v>
      </c>
    </row>
    <row r="45" customFormat="false" ht="17.25" hidden="false" customHeight="true" outlineLevel="0" collapsed="false">
      <c r="A45" s="14" t="s">
        <v>437</v>
      </c>
      <c r="B45" s="15" t="s">
        <v>292</v>
      </c>
      <c r="C45" s="15" t="s">
        <v>89</v>
      </c>
      <c r="D45" s="15" t="s">
        <v>1077</v>
      </c>
      <c r="E45" s="16" t="n">
        <v>2</v>
      </c>
    </row>
    <row r="46" customFormat="false" ht="17.25" hidden="false" customHeight="true" outlineLevel="0" collapsed="false">
      <c r="A46" s="11" t="s">
        <v>1078</v>
      </c>
      <c r="B46" s="12" t="s">
        <v>1079</v>
      </c>
      <c r="C46" s="12" t="s">
        <v>80</v>
      </c>
      <c r="D46" s="12" t="s">
        <v>340</v>
      </c>
      <c r="E46" s="13" t="n">
        <v>1</v>
      </c>
    </row>
    <row r="47" customFormat="false" ht="17.25" hidden="false" customHeight="true" outlineLevel="0" collapsed="false">
      <c r="A47" s="14" t="s">
        <v>1080</v>
      </c>
      <c r="B47" s="15" t="s">
        <v>1081</v>
      </c>
      <c r="C47" s="15" t="s">
        <v>80</v>
      </c>
      <c r="D47" s="15" t="s">
        <v>335</v>
      </c>
      <c r="E47" s="16" t="n">
        <v>1</v>
      </c>
    </row>
    <row r="48" customFormat="false" ht="17.25" hidden="false" customHeight="true" outlineLevel="0" collapsed="false">
      <c r="A48" s="11" t="s">
        <v>1082</v>
      </c>
      <c r="B48" s="12" t="s">
        <v>1083</v>
      </c>
      <c r="C48" s="12" t="s">
        <v>89</v>
      </c>
      <c r="D48" s="12" t="s">
        <v>468</v>
      </c>
      <c r="E48" s="13" t="n">
        <v>1</v>
      </c>
    </row>
    <row r="49" customFormat="false" ht="17.25" hidden="false" customHeight="true" outlineLevel="0" collapsed="false">
      <c r="A49" s="14" t="s">
        <v>1082</v>
      </c>
      <c r="B49" s="15" t="s">
        <v>1083</v>
      </c>
      <c r="C49" s="15" t="s">
        <v>80</v>
      </c>
      <c r="D49" s="15" t="s">
        <v>1084</v>
      </c>
      <c r="E49" s="16" t="n">
        <v>3</v>
      </c>
    </row>
    <row r="50" customFormat="false" ht="17.25" hidden="false" customHeight="true" outlineLevel="0" collapsed="false">
      <c r="A50" s="11" t="s">
        <v>477</v>
      </c>
      <c r="B50" s="12" t="s">
        <v>292</v>
      </c>
      <c r="C50" s="12" t="s">
        <v>89</v>
      </c>
      <c r="D50" s="12" t="s">
        <v>474</v>
      </c>
      <c r="E50" s="13" t="n">
        <v>1</v>
      </c>
    </row>
    <row r="51" customFormat="false" ht="17.25" hidden="false" customHeight="true" outlineLevel="0" collapsed="false">
      <c r="A51" s="14" t="s">
        <v>1085</v>
      </c>
      <c r="B51" s="15" t="s">
        <v>1086</v>
      </c>
      <c r="C51" s="15" t="s">
        <v>80</v>
      </c>
      <c r="D51" s="15" t="s">
        <v>401</v>
      </c>
      <c r="E51" s="16" t="n">
        <v>1</v>
      </c>
    </row>
    <row r="52" customFormat="false" ht="17.25" hidden="false" customHeight="true" outlineLevel="0" collapsed="false">
      <c r="A52" s="11" t="s">
        <v>1087</v>
      </c>
      <c r="B52" s="12" t="s">
        <v>1088</v>
      </c>
      <c r="C52" s="12" t="s">
        <v>71</v>
      </c>
      <c r="D52" s="12" t="s">
        <v>233</v>
      </c>
      <c r="E52" s="13" t="n">
        <v>1</v>
      </c>
    </row>
    <row r="53" customFormat="false" ht="17.25" hidden="false" customHeight="true" outlineLevel="0" collapsed="false">
      <c r="A53" s="14" t="s">
        <v>1089</v>
      </c>
      <c r="B53" s="15" t="s">
        <v>1090</v>
      </c>
      <c r="C53" s="15" t="s">
        <v>89</v>
      </c>
      <c r="D53" s="15" t="s">
        <v>455</v>
      </c>
      <c r="E53" s="16" t="n">
        <v>1</v>
      </c>
    </row>
    <row r="54" customFormat="false" ht="17.25" hidden="false" customHeight="true" outlineLevel="0" collapsed="false">
      <c r="A54" s="11" t="s">
        <v>1089</v>
      </c>
      <c r="B54" s="12" t="s">
        <v>1090</v>
      </c>
      <c r="C54" s="12" t="s">
        <v>80</v>
      </c>
      <c r="D54" s="12" t="s">
        <v>346</v>
      </c>
      <c r="E54" s="13" t="n">
        <v>1</v>
      </c>
    </row>
    <row r="55" customFormat="false" ht="17.25" hidden="false" customHeight="true" outlineLevel="0" collapsed="false">
      <c r="A55" s="14" t="s">
        <v>1089</v>
      </c>
      <c r="B55" s="15" t="s">
        <v>1090</v>
      </c>
      <c r="C55" s="15" t="s">
        <v>71</v>
      </c>
      <c r="D55" s="15" t="s">
        <v>269</v>
      </c>
      <c r="E55" s="16" t="n">
        <v>1</v>
      </c>
    </row>
    <row r="56" customFormat="false" ht="17.25" hidden="false" customHeight="true" outlineLevel="0" collapsed="false">
      <c r="A56" s="11" t="s">
        <v>1091</v>
      </c>
      <c r="B56" s="12" t="s">
        <v>1092</v>
      </c>
      <c r="C56" s="12" t="s">
        <v>89</v>
      </c>
      <c r="D56" s="12" t="s">
        <v>461</v>
      </c>
      <c r="E56" s="13" t="n">
        <v>1</v>
      </c>
    </row>
    <row r="57" customFormat="false" ht="17.25" hidden="false" customHeight="true" outlineLevel="0" collapsed="false">
      <c r="A57" s="14" t="s">
        <v>1093</v>
      </c>
      <c r="B57" s="15" t="s">
        <v>1094</v>
      </c>
      <c r="C57" s="15" t="s">
        <v>80</v>
      </c>
      <c r="D57" s="15" t="s">
        <v>1095</v>
      </c>
      <c r="E57" s="16" t="n">
        <v>3</v>
      </c>
    </row>
    <row r="58" customFormat="false" ht="17.25" hidden="false" customHeight="true" outlineLevel="0" collapsed="false">
      <c r="A58" s="11" t="s">
        <v>1096</v>
      </c>
      <c r="B58" s="12" t="s">
        <v>1097</v>
      </c>
      <c r="C58" s="12" t="s">
        <v>105</v>
      </c>
      <c r="D58" s="12" t="s">
        <v>564</v>
      </c>
      <c r="E58" s="13" t="n">
        <v>1</v>
      </c>
    </row>
    <row r="59" customFormat="false" ht="17.25" hidden="false" customHeight="true" outlineLevel="0" collapsed="false">
      <c r="A59" s="14" t="s">
        <v>783</v>
      </c>
      <c r="B59" s="15" t="s">
        <v>783</v>
      </c>
      <c r="C59" s="15" t="s">
        <v>112</v>
      </c>
      <c r="D59" s="15" t="s">
        <v>780</v>
      </c>
      <c r="E59" s="16" t="n">
        <v>1</v>
      </c>
    </row>
    <row r="60" customFormat="false" ht="28.5" hidden="false" customHeight="true" outlineLevel="0" collapsed="false">
      <c r="A60" s="11" t="s">
        <v>1001</v>
      </c>
      <c r="B60" s="12" t="s">
        <v>1001</v>
      </c>
      <c r="C60" s="12" t="s">
        <v>112</v>
      </c>
      <c r="D60" s="12" t="s">
        <v>998</v>
      </c>
      <c r="E60" s="13" t="n">
        <v>1</v>
      </c>
    </row>
    <row r="61" customFormat="false" ht="17.25" hidden="false" customHeight="true" outlineLevel="0" collapsed="false">
      <c r="A61" s="14" t="s">
        <v>871</v>
      </c>
      <c r="B61" s="15" t="s">
        <v>871</v>
      </c>
      <c r="C61" s="15" t="s">
        <v>112</v>
      </c>
      <c r="D61" s="15" t="s">
        <v>868</v>
      </c>
      <c r="E61" s="16" t="n">
        <v>1</v>
      </c>
    </row>
    <row r="62" customFormat="false" ht="28.5" hidden="false" customHeight="true" outlineLevel="0" collapsed="false">
      <c r="A62" s="11" t="s">
        <v>777</v>
      </c>
      <c r="B62" s="12" t="s">
        <v>1098</v>
      </c>
      <c r="C62" s="12" t="s">
        <v>112</v>
      </c>
      <c r="D62" s="12" t="s">
        <v>774</v>
      </c>
      <c r="E62" s="13" t="n">
        <v>1</v>
      </c>
    </row>
    <row r="63" customFormat="false" ht="17.25" hidden="false" customHeight="true" outlineLevel="0" collapsed="false">
      <c r="A63" s="14" t="s">
        <v>703</v>
      </c>
      <c r="B63" s="15" t="s">
        <v>703</v>
      </c>
      <c r="C63" s="15" t="s">
        <v>112</v>
      </c>
      <c r="D63" s="15" t="s">
        <v>700</v>
      </c>
      <c r="E63" s="16" t="n">
        <v>1</v>
      </c>
    </row>
    <row r="64" customFormat="false" ht="28.5" hidden="false" customHeight="true" outlineLevel="0" collapsed="false">
      <c r="A64" s="11" t="s">
        <v>710</v>
      </c>
      <c r="B64" s="12" t="s">
        <v>710</v>
      </c>
      <c r="C64" s="12" t="s">
        <v>112</v>
      </c>
      <c r="D64" s="12" t="s">
        <v>708</v>
      </c>
      <c r="E64" s="13" t="n">
        <v>1</v>
      </c>
    </row>
    <row r="65" customFormat="false" ht="17.25" hidden="false" customHeight="true" outlineLevel="0" collapsed="false">
      <c r="A65" s="14" t="s">
        <v>716</v>
      </c>
      <c r="B65" s="15" t="s">
        <v>1099</v>
      </c>
      <c r="C65" s="15" t="s">
        <v>112</v>
      </c>
      <c r="D65" s="15" t="s">
        <v>713</v>
      </c>
      <c r="E65" s="16" t="n">
        <v>1</v>
      </c>
    </row>
    <row r="66" customFormat="false" ht="17.25" hidden="false" customHeight="true" outlineLevel="0" collapsed="false">
      <c r="A66" s="11" t="s">
        <v>769</v>
      </c>
      <c r="B66" s="12" t="s">
        <v>769</v>
      </c>
      <c r="C66" s="12" t="s">
        <v>112</v>
      </c>
      <c r="D66" s="12" t="s">
        <v>766</v>
      </c>
      <c r="E66" s="13" t="n">
        <v>1</v>
      </c>
    </row>
    <row r="67" customFormat="false" ht="17.25" hidden="false" customHeight="true" outlineLevel="0" collapsed="false">
      <c r="A67" s="14" t="s">
        <v>850</v>
      </c>
      <c r="B67" s="15" t="s">
        <v>1100</v>
      </c>
      <c r="C67" s="15" t="s">
        <v>112</v>
      </c>
      <c r="D67" s="15" t="s">
        <v>848</v>
      </c>
      <c r="E67" s="16" t="n">
        <v>1</v>
      </c>
    </row>
    <row r="68" customFormat="false" ht="17.25" hidden="false" customHeight="true" outlineLevel="0" collapsed="false">
      <c r="A68" s="11" t="s">
        <v>754</v>
      </c>
      <c r="B68" s="12" t="s">
        <v>292</v>
      </c>
      <c r="C68" s="12" t="s">
        <v>112</v>
      </c>
      <c r="D68" s="12" t="s">
        <v>751</v>
      </c>
      <c r="E68" s="13" t="n">
        <v>1</v>
      </c>
    </row>
    <row r="69" customFormat="false" ht="17.25" hidden="false" customHeight="true" outlineLevel="0" collapsed="false">
      <c r="A69" s="14" t="s">
        <v>761</v>
      </c>
      <c r="B69" s="15" t="s">
        <v>292</v>
      </c>
      <c r="C69" s="15" t="s">
        <v>112</v>
      </c>
      <c r="D69" s="15" t="s">
        <v>758</v>
      </c>
      <c r="E69" s="16" t="n">
        <v>1</v>
      </c>
    </row>
    <row r="70" customFormat="false" ht="17.25" hidden="false" customHeight="true" outlineLevel="0" collapsed="false">
      <c r="A70" s="11" t="s">
        <v>542</v>
      </c>
      <c r="B70" s="12" t="s">
        <v>292</v>
      </c>
      <c r="C70" s="12" t="s">
        <v>96</v>
      </c>
      <c r="D70" s="12" t="s">
        <v>540</v>
      </c>
      <c r="E70" s="13" t="n">
        <v>1</v>
      </c>
    </row>
    <row r="71" customFormat="false" ht="17.25" hidden="false" customHeight="true" outlineLevel="0" collapsed="false">
      <c r="A71" s="14" t="s">
        <v>279</v>
      </c>
      <c r="B71" s="15" t="s">
        <v>292</v>
      </c>
      <c r="C71" s="15" t="s">
        <v>71</v>
      </c>
      <c r="D71" s="15" t="s">
        <v>276</v>
      </c>
      <c r="E71" s="16" t="n">
        <v>1</v>
      </c>
    </row>
    <row r="72" customFormat="false" ht="17.25" hidden="false" customHeight="true" outlineLevel="0" collapsed="false">
      <c r="A72" s="11" t="s">
        <v>863</v>
      </c>
      <c r="B72" s="12" t="s">
        <v>292</v>
      </c>
      <c r="C72" s="12" t="s">
        <v>112</v>
      </c>
      <c r="D72" s="12" t="s">
        <v>860</v>
      </c>
      <c r="E72" s="13" t="n">
        <v>1</v>
      </c>
    </row>
    <row r="73" customFormat="false" ht="28.5" hidden="false" customHeight="true" outlineLevel="0" collapsed="false">
      <c r="A73" s="14" t="s">
        <v>530</v>
      </c>
      <c r="B73" s="15" t="s">
        <v>292</v>
      </c>
      <c r="C73" s="15" t="s">
        <v>96</v>
      </c>
      <c r="D73" s="15" t="s">
        <v>527</v>
      </c>
      <c r="E73" s="16" t="n">
        <v>1</v>
      </c>
    </row>
    <row r="74" customFormat="false" ht="28.5" hidden="false" customHeight="true" outlineLevel="0" collapsed="false">
      <c r="A74" s="11" t="s">
        <v>789</v>
      </c>
      <c r="B74" s="12" t="s">
        <v>1101</v>
      </c>
      <c r="C74" s="12" t="s">
        <v>112</v>
      </c>
      <c r="D74" s="12" t="s">
        <v>787</v>
      </c>
      <c r="E74" s="13" t="n">
        <v>1</v>
      </c>
    </row>
    <row r="75" customFormat="false" ht="28.5" hidden="false" customHeight="true" outlineLevel="0" collapsed="false">
      <c r="A75" s="14" t="s">
        <v>742</v>
      </c>
      <c r="B75" s="15" t="s">
        <v>1102</v>
      </c>
      <c r="C75" s="15" t="s">
        <v>112</v>
      </c>
      <c r="D75" s="15" t="s">
        <v>739</v>
      </c>
      <c r="E75" s="16" t="n">
        <v>1</v>
      </c>
    </row>
    <row r="76" customFormat="false" ht="28.5" hidden="false" customHeight="true" outlineLevel="0" collapsed="false">
      <c r="A76" s="11" t="s">
        <v>722</v>
      </c>
      <c r="B76" s="12" t="s">
        <v>1103</v>
      </c>
      <c r="C76" s="12" t="s">
        <v>112</v>
      </c>
      <c r="D76" s="12" t="s">
        <v>720</v>
      </c>
      <c r="E76" s="13" t="n">
        <v>1</v>
      </c>
    </row>
    <row r="77" customFormat="false" ht="28.5" hidden="false" customHeight="true" outlineLevel="0" collapsed="false">
      <c r="A77" s="14" t="s">
        <v>729</v>
      </c>
      <c r="B77" s="15" t="s">
        <v>1104</v>
      </c>
      <c r="C77" s="15" t="s">
        <v>112</v>
      </c>
      <c r="D77" s="15" t="s">
        <v>727</v>
      </c>
      <c r="E77" s="16" t="n">
        <v>1</v>
      </c>
    </row>
    <row r="78" customFormat="false" ht="28.5" hidden="false" customHeight="true" outlineLevel="0" collapsed="false">
      <c r="A78" s="11" t="s">
        <v>736</v>
      </c>
      <c r="B78" s="12" t="s">
        <v>1105</v>
      </c>
      <c r="C78" s="12" t="s">
        <v>112</v>
      </c>
      <c r="D78" s="12" t="s">
        <v>734</v>
      </c>
      <c r="E78" s="13" t="n">
        <v>1</v>
      </c>
    </row>
    <row r="79" customFormat="false" ht="17.25" hidden="false" customHeight="true" outlineLevel="0" collapsed="false">
      <c r="A79" s="14" t="s">
        <v>804</v>
      </c>
      <c r="B79" s="15" t="s">
        <v>292</v>
      </c>
      <c r="C79" s="15" t="s">
        <v>112</v>
      </c>
      <c r="D79" s="15" t="s">
        <v>802</v>
      </c>
      <c r="E79" s="16" t="n">
        <v>1</v>
      </c>
    </row>
    <row r="80" customFormat="false" ht="28.5" hidden="false" customHeight="true" outlineLevel="0" collapsed="false">
      <c r="A80" s="11" t="s">
        <v>258</v>
      </c>
      <c r="B80" s="12" t="s">
        <v>292</v>
      </c>
      <c r="C80" s="12" t="s">
        <v>71</v>
      </c>
      <c r="D80" s="12" t="s">
        <v>256</v>
      </c>
      <c r="E80" s="13" t="n">
        <v>1</v>
      </c>
    </row>
    <row r="81" customFormat="false" ht="28.5" hidden="false" customHeight="true" outlineLevel="0" collapsed="false">
      <c r="A81" s="14" t="s">
        <v>444</v>
      </c>
      <c r="B81" s="15" t="s">
        <v>292</v>
      </c>
      <c r="C81" s="15" t="s">
        <v>89</v>
      </c>
      <c r="D81" s="15" t="s">
        <v>441</v>
      </c>
      <c r="E81" s="16" t="n">
        <v>1</v>
      </c>
    </row>
    <row r="82" customFormat="false" ht="17.25" hidden="false" customHeight="true" outlineLevel="0" collapsed="false">
      <c r="A82" s="11" t="s">
        <v>510</v>
      </c>
      <c r="B82" s="12" t="s">
        <v>292</v>
      </c>
      <c r="C82" s="12" t="s">
        <v>96</v>
      </c>
      <c r="D82" s="12" t="s">
        <v>507</v>
      </c>
      <c r="E82" s="13" t="n">
        <v>1</v>
      </c>
    </row>
    <row r="83" customFormat="false" ht="17.25" hidden="false" customHeight="true" outlineLevel="0" collapsed="false">
      <c r="A83" s="14" t="s">
        <v>285</v>
      </c>
      <c r="B83" s="15" t="s">
        <v>292</v>
      </c>
      <c r="C83" s="15" t="s">
        <v>71</v>
      </c>
      <c r="D83" s="15" t="s">
        <v>283</v>
      </c>
      <c r="E83" s="16" t="n">
        <v>1</v>
      </c>
    </row>
    <row r="84" customFormat="false" ht="28.5" hidden="false" customHeight="true" outlineLevel="0" collapsed="false">
      <c r="A84" s="11" t="s">
        <v>553</v>
      </c>
      <c r="B84" s="12" t="s">
        <v>292</v>
      </c>
      <c r="C84" s="12" t="s">
        <v>105</v>
      </c>
      <c r="D84" s="12" t="s">
        <v>551</v>
      </c>
      <c r="E84" s="13" t="n">
        <v>1</v>
      </c>
    </row>
    <row r="85" customFormat="false" ht="17.25" hidden="false" customHeight="true" outlineLevel="0" collapsed="false">
      <c r="A85" s="14" t="s">
        <v>303</v>
      </c>
      <c r="B85" s="15" t="s">
        <v>292</v>
      </c>
      <c r="C85" s="15" t="s">
        <v>71</v>
      </c>
      <c r="D85" s="15" t="s">
        <v>301</v>
      </c>
      <c r="E85" s="16" t="n">
        <v>1</v>
      </c>
    </row>
    <row r="86" customFormat="false" ht="28.5" hidden="false" customHeight="true" outlineLevel="0" collapsed="false">
      <c r="A86" s="11" t="s">
        <v>624</v>
      </c>
      <c r="B86" s="12" t="s">
        <v>292</v>
      </c>
      <c r="C86" s="12" t="s">
        <v>112</v>
      </c>
      <c r="D86" s="12" t="s">
        <v>622</v>
      </c>
      <c r="E86" s="13" t="n">
        <v>1</v>
      </c>
    </row>
    <row r="87" customFormat="false" ht="17.25" hidden="false" customHeight="true" outlineLevel="0" collapsed="false">
      <c r="A87" s="14" t="s">
        <v>630</v>
      </c>
      <c r="B87" s="15" t="s">
        <v>292</v>
      </c>
      <c r="C87" s="15" t="s">
        <v>112</v>
      </c>
      <c r="D87" s="15" t="s">
        <v>628</v>
      </c>
      <c r="E87" s="16" t="n">
        <v>1</v>
      </c>
    </row>
    <row r="88" customFormat="false" ht="17.25" hidden="false" customHeight="true" outlineLevel="0" collapsed="false">
      <c r="A88" s="11" t="s">
        <v>605</v>
      </c>
      <c r="B88" s="12" t="s">
        <v>292</v>
      </c>
      <c r="C88" s="12" t="s">
        <v>112</v>
      </c>
      <c r="D88" s="12" t="s">
        <v>603</v>
      </c>
      <c r="E88" s="13" t="n">
        <v>1</v>
      </c>
    </row>
    <row r="89" customFormat="false" ht="17.25" hidden="false" customHeight="true" outlineLevel="0" collapsed="false">
      <c r="A89" s="14" t="s">
        <v>517</v>
      </c>
      <c r="B89" s="15" t="s">
        <v>292</v>
      </c>
      <c r="C89" s="15" t="s">
        <v>96</v>
      </c>
      <c r="D89" s="15" t="s">
        <v>514</v>
      </c>
      <c r="E89" s="16" t="n">
        <v>1</v>
      </c>
    </row>
    <row r="90" customFormat="false" ht="17.25" hidden="false" customHeight="true" outlineLevel="0" collapsed="false">
      <c r="A90" s="11" t="s">
        <v>599</v>
      </c>
      <c r="B90" s="12" t="s">
        <v>292</v>
      </c>
      <c r="C90" s="12" t="s">
        <v>112</v>
      </c>
      <c r="D90" s="12" t="s">
        <v>597</v>
      </c>
      <c r="E90" s="13" t="n">
        <v>1</v>
      </c>
    </row>
    <row r="91" customFormat="false" ht="28.5" hidden="false" customHeight="true" outlineLevel="0" collapsed="false">
      <c r="A91" s="14" t="s">
        <v>265</v>
      </c>
      <c r="B91" s="15" t="s">
        <v>292</v>
      </c>
      <c r="C91" s="15" t="s">
        <v>71</v>
      </c>
      <c r="D91" s="15" t="s">
        <v>263</v>
      </c>
      <c r="E91" s="16" t="n">
        <v>1</v>
      </c>
    </row>
    <row r="92" customFormat="false" ht="17.25" hidden="false" customHeight="true" outlineLevel="0" collapsed="false">
      <c r="A92" s="11" t="s">
        <v>618</v>
      </c>
      <c r="B92" s="12" t="s">
        <v>292</v>
      </c>
      <c r="C92" s="12" t="s">
        <v>112</v>
      </c>
      <c r="D92" s="12" t="s">
        <v>616</v>
      </c>
      <c r="E92" s="13" t="n">
        <v>1</v>
      </c>
    </row>
    <row r="93" customFormat="false" ht="17.25" hidden="false" customHeight="true" outlineLevel="0" collapsed="false">
      <c r="A93" s="14" t="s">
        <v>387</v>
      </c>
      <c r="B93" s="15" t="s">
        <v>292</v>
      </c>
      <c r="C93" s="15" t="s">
        <v>80</v>
      </c>
      <c r="D93" s="15" t="s">
        <v>385</v>
      </c>
      <c r="E93" s="16" t="n">
        <v>1</v>
      </c>
    </row>
    <row r="94" customFormat="false" ht="17.25" hidden="false" customHeight="true" outlineLevel="0" collapsed="false">
      <c r="A94" s="11" t="s">
        <v>292</v>
      </c>
      <c r="B94" s="12" t="s">
        <v>292</v>
      </c>
      <c r="C94" s="12" t="s">
        <v>96</v>
      </c>
      <c r="D94" s="12" t="s">
        <v>1106</v>
      </c>
      <c r="E94" s="13" t="n">
        <v>3</v>
      </c>
    </row>
    <row r="95" customFormat="false" ht="17.25" hidden="false" customHeight="true" outlineLevel="0" collapsed="false">
      <c r="A95" s="14" t="s">
        <v>292</v>
      </c>
      <c r="B95" s="15" t="s">
        <v>292</v>
      </c>
      <c r="C95" s="15" t="s">
        <v>89</v>
      </c>
      <c r="D95" s="15" t="s">
        <v>1107</v>
      </c>
      <c r="E95" s="16" t="n">
        <v>3</v>
      </c>
    </row>
    <row r="96" customFormat="false" ht="17.25" hidden="false" customHeight="true" outlineLevel="0" collapsed="false">
      <c r="A96" s="11" t="s">
        <v>292</v>
      </c>
      <c r="B96" s="12" t="s">
        <v>292</v>
      </c>
      <c r="C96" s="12" t="s">
        <v>112</v>
      </c>
      <c r="D96" s="12" t="s">
        <v>592</v>
      </c>
      <c r="E96" s="13" t="n">
        <v>1</v>
      </c>
    </row>
    <row r="97" customFormat="false" ht="28.5" hidden="false" customHeight="true" outlineLevel="0" collapsed="false">
      <c r="A97" s="14" t="s">
        <v>292</v>
      </c>
      <c r="B97" s="15" t="s">
        <v>292</v>
      </c>
      <c r="C97" s="15" t="s">
        <v>80</v>
      </c>
      <c r="D97" s="15" t="s">
        <v>1108</v>
      </c>
      <c r="E97" s="16" t="n">
        <v>6</v>
      </c>
    </row>
    <row r="98" customFormat="false" ht="17.25" hidden="false" customHeight="true" outlineLevel="0" collapsed="false">
      <c r="A98" s="11" t="s">
        <v>292</v>
      </c>
      <c r="B98" s="12" t="s">
        <v>292</v>
      </c>
      <c r="C98" s="12" t="s">
        <v>71</v>
      </c>
      <c r="D98" s="12" t="s">
        <v>1109</v>
      </c>
      <c r="E98" s="13" t="n">
        <v>2</v>
      </c>
    </row>
    <row r="99" customFormat="false" ht="28.5" hidden="false" customHeight="true" outlineLevel="0" collapsed="false">
      <c r="A99" s="14" t="s">
        <v>292</v>
      </c>
      <c r="B99" s="15" t="s">
        <v>292</v>
      </c>
      <c r="C99" s="15" t="s">
        <v>105</v>
      </c>
      <c r="D99" s="15" t="s">
        <v>1110</v>
      </c>
      <c r="E99" s="16" t="n">
        <v>5</v>
      </c>
    </row>
  </sheetData>
  <autoFilter ref="A1:E9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F4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4"/>
    <col collapsed="false" customWidth="true" hidden="false" outlineLevel="0" max="4" min="4" style="0" width="30"/>
    <col collapsed="false" customWidth="true" hidden="false" outlineLevel="0" max="5" min="5" style="0" width="8"/>
    <col collapsed="false" customWidth="true" hidden="false" outlineLevel="0" max="6" min="6" style="0" width="62"/>
  </cols>
  <sheetData>
    <row r="1" customFormat="false" ht="30" hidden="false" customHeight="true" outlineLevel="0" collapsed="false">
      <c r="A1" s="10" t="s">
        <v>223</v>
      </c>
      <c r="B1" s="10" t="s">
        <v>61</v>
      </c>
      <c r="C1" s="10" t="s">
        <v>221</v>
      </c>
      <c r="D1" s="10" t="s">
        <v>1111</v>
      </c>
      <c r="E1" s="10" t="s">
        <v>1030</v>
      </c>
      <c r="F1" s="10" t="s">
        <v>1112</v>
      </c>
    </row>
    <row r="2" customFormat="false" ht="17.25" hidden="false" customHeight="true" outlineLevel="0" collapsed="false">
      <c r="A2" s="11" t="s">
        <v>651</v>
      </c>
      <c r="B2" s="12" t="s">
        <v>112</v>
      </c>
      <c r="C2" s="12" t="s">
        <v>206</v>
      </c>
      <c r="D2" s="12" t="s">
        <v>649</v>
      </c>
      <c r="E2" s="13" t="n">
        <v>1</v>
      </c>
      <c r="F2" s="12" t="s">
        <v>1113</v>
      </c>
    </row>
    <row r="3" customFormat="false" ht="28.5" hidden="false" customHeight="true" outlineLevel="0" collapsed="false">
      <c r="A3" s="14" t="s">
        <v>782</v>
      </c>
      <c r="B3" s="15" t="s">
        <v>112</v>
      </c>
      <c r="C3" s="15" t="s">
        <v>209</v>
      </c>
      <c r="D3" s="15" t="s">
        <v>1114</v>
      </c>
      <c r="E3" s="16" t="n">
        <v>2</v>
      </c>
      <c r="F3" s="15" t="s">
        <v>1115</v>
      </c>
    </row>
    <row r="4" customFormat="false" ht="28.5" hidden="false" customHeight="true" outlineLevel="0" collapsed="false">
      <c r="A4" s="11" t="s">
        <v>659</v>
      </c>
      <c r="B4" s="12" t="s">
        <v>112</v>
      </c>
      <c r="C4" s="12" t="s">
        <v>206</v>
      </c>
      <c r="D4" s="12" t="s">
        <v>1116</v>
      </c>
      <c r="E4" s="13" t="n">
        <v>2</v>
      </c>
      <c r="F4" s="12" t="s">
        <v>1117</v>
      </c>
    </row>
    <row r="5" customFormat="false" ht="17.25" hidden="false" customHeight="true" outlineLevel="0" collapsed="false">
      <c r="A5" s="14" t="s">
        <v>1000</v>
      </c>
      <c r="B5" s="15" t="s">
        <v>112</v>
      </c>
      <c r="C5" s="15" t="s">
        <v>215</v>
      </c>
      <c r="D5" s="15" t="s">
        <v>998</v>
      </c>
      <c r="E5" s="16" t="n">
        <v>1</v>
      </c>
      <c r="F5" s="15" t="s">
        <v>1118</v>
      </c>
    </row>
    <row r="6" customFormat="false" ht="144" hidden="false" customHeight="true" outlineLevel="0" collapsed="false">
      <c r="A6" s="11" t="s">
        <v>924</v>
      </c>
      <c r="B6" s="12" t="s">
        <v>112</v>
      </c>
      <c r="C6" s="12" t="s">
        <v>215</v>
      </c>
      <c r="D6" s="12" t="s">
        <v>1119</v>
      </c>
      <c r="E6" s="13" t="n">
        <v>12</v>
      </c>
      <c r="F6" s="12" t="s">
        <v>1120</v>
      </c>
    </row>
    <row r="7" customFormat="false" ht="63" hidden="false" customHeight="true" outlineLevel="0" collapsed="false">
      <c r="A7" s="14" t="s">
        <v>897</v>
      </c>
      <c r="B7" s="15" t="s">
        <v>112</v>
      </c>
      <c r="C7" s="15" t="s">
        <v>215</v>
      </c>
      <c r="D7" s="15" t="s">
        <v>1121</v>
      </c>
      <c r="E7" s="16" t="n">
        <v>4</v>
      </c>
      <c r="F7" s="15" t="s">
        <v>1122</v>
      </c>
    </row>
    <row r="8" customFormat="false" ht="51.75" hidden="false" customHeight="true" outlineLevel="0" collapsed="false">
      <c r="A8" s="11" t="s">
        <v>870</v>
      </c>
      <c r="B8" s="12" t="s">
        <v>112</v>
      </c>
      <c r="C8" s="12" t="s">
        <v>215</v>
      </c>
      <c r="D8" s="12" t="s">
        <v>1123</v>
      </c>
      <c r="E8" s="13" t="n">
        <v>4</v>
      </c>
      <c r="F8" s="12" t="s">
        <v>1124</v>
      </c>
    </row>
    <row r="9" customFormat="false" ht="28.5" hidden="false" customHeight="true" outlineLevel="0" collapsed="false">
      <c r="A9" s="14" t="s">
        <v>741</v>
      </c>
      <c r="B9" s="15" t="s">
        <v>112</v>
      </c>
      <c r="C9" s="15" t="s">
        <v>209</v>
      </c>
      <c r="D9" s="15" t="s">
        <v>1125</v>
      </c>
      <c r="E9" s="16" t="n">
        <v>2</v>
      </c>
      <c r="F9" s="15" t="s">
        <v>1126</v>
      </c>
    </row>
    <row r="10" customFormat="false" ht="17.25" hidden="false" customHeight="true" outlineLevel="0" collapsed="false">
      <c r="A10" s="11" t="s">
        <v>776</v>
      </c>
      <c r="B10" s="12" t="s">
        <v>112</v>
      </c>
      <c r="C10" s="12" t="s">
        <v>209</v>
      </c>
      <c r="D10" s="12" t="s">
        <v>774</v>
      </c>
      <c r="E10" s="13" t="n">
        <v>1</v>
      </c>
      <c r="F10" s="12" t="s">
        <v>1127</v>
      </c>
    </row>
    <row r="11" customFormat="false" ht="28.5" hidden="false" customHeight="true" outlineLevel="0" collapsed="false">
      <c r="A11" s="14" t="s">
        <v>702</v>
      </c>
      <c r="B11" s="15" t="s">
        <v>112</v>
      </c>
      <c r="C11" s="15" t="s">
        <v>209</v>
      </c>
      <c r="D11" s="15" t="s">
        <v>1128</v>
      </c>
      <c r="E11" s="16" t="n">
        <v>2</v>
      </c>
      <c r="F11" s="15" t="s">
        <v>1129</v>
      </c>
    </row>
    <row r="12" customFormat="false" ht="17.25" hidden="false" customHeight="true" outlineLevel="0" collapsed="false">
      <c r="A12" s="11" t="s">
        <v>796</v>
      </c>
      <c r="B12" s="12" t="s">
        <v>112</v>
      </c>
      <c r="C12" s="12" t="s">
        <v>209</v>
      </c>
      <c r="D12" s="12" t="s">
        <v>794</v>
      </c>
      <c r="E12" s="13" t="n">
        <v>1</v>
      </c>
      <c r="F12" s="12" t="s">
        <v>1130</v>
      </c>
    </row>
    <row r="13" customFormat="false" ht="51.75" hidden="false" customHeight="true" outlineLevel="0" collapsed="false">
      <c r="A13" s="14" t="s">
        <v>715</v>
      </c>
      <c r="B13" s="15" t="s">
        <v>112</v>
      </c>
      <c r="C13" s="15" t="s">
        <v>209</v>
      </c>
      <c r="D13" s="15" t="s">
        <v>1131</v>
      </c>
      <c r="E13" s="16" t="n">
        <v>4</v>
      </c>
      <c r="F13" s="15" t="s">
        <v>1132</v>
      </c>
    </row>
    <row r="14" customFormat="false" ht="17.25" hidden="false" customHeight="true" outlineLevel="0" collapsed="false">
      <c r="A14" s="11" t="s">
        <v>753</v>
      </c>
      <c r="B14" s="12" t="s">
        <v>112</v>
      </c>
      <c r="C14" s="12" t="s">
        <v>209</v>
      </c>
      <c r="D14" s="12" t="s">
        <v>751</v>
      </c>
      <c r="E14" s="13" t="n">
        <v>1</v>
      </c>
      <c r="F14" s="12" t="s">
        <v>1133</v>
      </c>
    </row>
    <row r="15" customFormat="false" ht="17.25" hidden="false" customHeight="true" outlineLevel="0" collapsed="false">
      <c r="A15" s="14" t="s">
        <v>768</v>
      </c>
      <c r="B15" s="15" t="s">
        <v>112</v>
      </c>
      <c r="C15" s="15" t="s">
        <v>209</v>
      </c>
      <c r="D15" s="15" t="s">
        <v>766</v>
      </c>
      <c r="E15" s="16" t="n">
        <v>1</v>
      </c>
      <c r="F15" s="15" t="s">
        <v>1134</v>
      </c>
    </row>
    <row r="16" customFormat="false" ht="17.25" hidden="false" customHeight="true" outlineLevel="0" collapsed="false">
      <c r="A16" s="11" t="s">
        <v>760</v>
      </c>
      <c r="B16" s="12" t="s">
        <v>112</v>
      </c>
      <c r="C16" s="12" t="s">
        <v>209</v>
      </c>
      <c r="D16" s="12" t="s">
        <v>758</v>
      </c>
      <c r="E16" s="13" t="n">
        <v>1</v>
      </c>
      <c r="F16" s="12" t="s">
        <v>1135</v>
      </c>
    </row>
    <row r="17" customFormat="false" ht="17.25" hidden="false" customHeight="true" outlineLevel="0" collapsed="false">
      <c r="A17" s="14" t="s">
        <v>643</v>
      </c>
      <c r="B17" s="15" t="s">
        <v>112</v>
      </c>
      <c r="C17" s="15" t="s">
        <v>206</v>
      </c>
      <c r="D17" s="15" t="s">
        <v>641</v>
      </c>
      <c r="E17" s="16" t="n">
        <v>1</v>
      </c>
      <c r="F17" s="15" t="s">
        <v>1136</v>
      </c>
    </row>
    <row r="18" customFormat="false" ht="63" hidden="false" customHeight="true" outlineLevel="0" collapsed="false">
      <c r="A18" s="11" t="s">
        <v>671</v>
      </c>
      <c r="B18" s="12" t="s">
        <v>112</v>
      </c>
      <c r="C18" s="12" t="s">
        <v>206</v>
      </c>
      <c r="D18" s="12" t="s">
        <v>1137</v>
      </c>
      <c r="E18" s="13" t="n">
        <v>5</v>
      </c>
      <c r="F18" s="12" t="s">
        <v>1138</v>
      </c>
    </row>
    <row r="19" customFormat="false" ht="109.5" hidden="false" customHeight="true" outlineLevel="0" collapsed="false">
      <c r="A19" s="14" t="s">
        <v>812</v>
      </c>
      <c r="B19" s="15" t="s">
        <v>112</v>
      </c>
      <c r="C19" s="15" t="s">
        <v>212</v>
      </c>
      <c r="D19" s="15" t="s">
        <v>1139</v>
      </c>
      <c r="E19" s="16" t="n">
        <v>9</v>
      </c>
      <c r="F19" s="15" t="s">
        <v>1140</v>
      </c>
    </row>
    <row r="20" customFormat="false" ht="17.25" hidden="false" customHeight="true" outlineLevel="0" collapsed="false">
      <c r="A20" s="11" t="s">
        <v>862</v>
      </c>
      <c r="B20" s="12" t="s">
        <v>112</v>
      </c>
      <c r="C20" s="12" t="s">
        <v>212</v>
      </c>
      <c r="D20" s="12" t="s">
        <v>860</v>
      </c>
      <c r="E20" s="13" t="n">
        <v>1</v>
      </c>
      <c r="F20" s="12" t="s">
        <v>1141</v>
      </c>
    </row>
    <row r="21" customFormat="false" ht="17.25" hidden="false" customHeight="true" outlineLevel="0" collapsed="false">
      <c r="A21" s="14" t="s">
        <v>529</v>
      </c>
      <c r="B21" s="15" t="s">
        <v>96</v>
      </c>
      <c r="C21" s="15" t="s">
        <v>181</v>
      </c>
      <c r="D21" s="15" t="s">
        <v>527</v>
      </c>
      <c r="E21" s="16" t="n">
        <v>1</v>
      </c>
      <c r="F21" s="15" t="s">
        <v>1142</v>
      </c>
    </row>
    <row r="22" customFormat="false" ht="17.25" hidden="false" customHeight="true" outlineLevel="0" collapsed="false">
      <c r="A22" s="11" t="s">
        <v>502</v>
      </c>
      <c r="B22" s="12" t="s">
        <v>96</v>
      </c>
      <c r="C22" s="12" t="s">
        <v>173</v>
      </c>
      <c r="D22" s="12" t="s">
        <v>500</v>
      </c>
      <c r="E22" s="13" t="n">
        <v>1</v>
      </c>
      <c r="F22" s="12" t="s">
        <v>1143</v>
      </c>
    </row>
    <row r="23" customFormat="false" ht="17.25" hidden="false" customHeight="true" outlineLevel="0" collapsed="false">
      <c r="A23" s="14" t="s">
        <v>494</v>
      </c>
      <c r="B23" s="15" t="s">
        <v>96</v>
      </c>
      <c r="C23" s="15" t="s">
        <v>173</v>
      </c>
      <c r="D23" s="15" t="s">
        <v>492</v>
      </c>
      <c r="E23" s="16" t="n">
        <v>1</v>
      </c>
      <c r="F23" s="15" t="s">
        <v>1144</v>
      </c>
    </row>
    <row r="24" customFormat="false" ht="17.25" hidden="false" customHeight="true" outlineLevel="0" collapsed="false">
      <c r="A24" s="11" t="s">
        <v>509</v>
      </c>
      <c r="B24" s="12" t="s">
        <v>96</v>
      </c>
      <c r="C24" s="12" t="s">
        <v>173</v>
      </c>
      <c r="D24" s="12" t="s">
        <v>507</v>
      </c>
      <c r="E24" s="13" t="n">
        <v>1</v>
      </c>
      <c r="F24" s="12" t="s">
        <v>1145</v>
      </c>
    </row>
    <row r="25" customFormat="false" ht="40.5" hidden="false" customHeight="true" outlineLevel="0" collapsed="false">
      <c r="A25" s="14" t="s">
        <v>516</v>
      </c>
      <c r="B25" s="15" t="s">
        <v>96</v>
      </c>
      <c r="C25" s="15" t="s">
        <v>181</v>
      </c>
      <c r="D25" s="15" t="s">
        <v>1146</v>
      </c>
      <c r="E25" s="16" t="n">
        <v>3</v>
      </c>
      <c r="F25" s="15" t="s">
        <v>1147</v>
      </c>
    </row>
    <row r="26" customFormat="false" ht="17.25" hidden="false" customHeight="true" outlineLevel="0" collapsed="false">
      <c r="A26" s="11" t="s">
        <v>1148</v>
      </c>
      <c r="B26" s="12" t="s">
        <v>89</v>
      </c>
      <c r="C26" s="12" t="s">
        <v>170</v>
      </c>
      <c r="D26" s="12" t="s">
        <v>468</v>
      </c>
      <c r="E26" s="13" t="n">
        <v>1</v>
      </c>
      <c r="F26" s="12" t="s">
        <v>1149</v>
      </c>
    </row>
    <row r="27" customFormat="false" ht="28.5" hidden="false" customHeight="true" outlineLevel="0" collapsed="false">
      <c r="A27" s="14" t="s">
        <v>1150</v>
      </c>
      <c r="B27" s="15" t="s">
        <v>89</v>
      </c>
      <c r="C27" s="15" t="s">
        <v>159</v>
      </c>
      <c r="D27" s="15" t="s">
        <v>1077</v>
      </c>
      <c r="E27" s="16" t="n">
        <v>2</v>
      </c>
      <c r="F27" s="15" t="s">
        <v>1151</v>
      </c>
    </row>
    <row r="28" customFormat="false" ht="28.5" hidden="false" customHeight="true" outlineLevel="0" collapsed="false">
      <c r="A28" s="11" t="s">
        <v>1152</v>
      </c>
      <c r="B28" s="12" t="s">
        <v>89</v>
      </c>
      <c r="C28" s="12" t="s">
        <v>159</v>
      </c>
      <c r="D28" s="12" t="s">
        <v>1077</v>
      </c>
      <c r="E28" s="13" t="n">
        <v>2</v>
      </c>
      <c r="F28" s="12" t="s">
        <v>1151</v>
      </c>
    </row>
    <row r="29" customFormat="false" ht="51.75" hidden="false" customHeight="true" outlineLevel="0" collapsed="false">
      <c r="A29" s="14" t="s">
        <v>443</v>
      </c>
      <c r="B29" s="15" t="s">
        <v>89</v>
      </c>
      <c r="C29" s="15" t="s">
        <v>167</v>
      </c>
      <c r="D29" s="15" t="s">
        <v>1153</v>
      </c>
      <c r="E29" s="16" t="n">
        <v>4</v>
      </c>
      <c r="F29" s="15" t="s">
        <v>1154</v>
      </c>
    </row>
    <row r="30" customFormat="false" ht="28.5" hidden="false" customHeight="true" outlineLevel="0" collapsed="false">
      <c r="A30" s="11" t="s">
        <v>476</v>
      </c>
      <c r="B30" s="12" t="s">
        <v>89</v>
      </c>
      <c r="C30" s="12" t="s">
        <v>170</v>
      </c>
      <c r="D30" s="12" t="s">
        <v>1155</v>
      </c>
      <c r="E30" s="13" t="n">
        <v>2</v>
      </c>
      <c r="F30" s="12" t="s">
        <v>1156</v>
      </c>
    </row>
    <row r="31" customFormat="false" ht="17.25" hidden="false" customHeight="true" outlineLevel="0" collapsed="false">
      <c r="A31" s="14" t="s">
        <v>397</v>
      </c>
      <c r="B31" s="15" t="s">
        <v>80</v>
      </c>
      <c r="C31" s="15" t="s">
        <v>153</v>
      </c>
      <c r="D31" s="15" t="s">
        <v>395</v>
      </c>
      <c r="E31" s="16" t="n">
        <v>1</v>
      </c>
      <c r="F31" s="15" t="s">
        <v>1157</v>
      </c>
    </row>
    <row r="32" customFormat="false" ht="17.25" hidden="false" customHeight="true" outlineLevel="0" collapsed="false">
      <c r="A32" s="11" t="s">
        <v>403</v>
      </c>
      <c r="B32" s="12" t="s">
        <v>80</v>
      </c>
      <c r="C32" s="12" t="s">
        <v>153</v>
      </c>
      <c r="D32" s="12" t="s">
        <v>401</v>
      </c>
      <c r="E32" s="13" t="n">
        <v>1</v>
      </c>
      <c r="F32" s="12" t="s">
        <v>1158</v>
      </c>
    </row>
    <row r="33" customFormat="false" ht="40.5" hidden="false" customHeight="true" outlineLevel="0" collapsed="false">
      <c r="A33" s="14" t="s">
        <v>332</v>
      </c>
      <c r="B33" s="15" t="s">
        <v>80</v>
      </c>
      <c r="C33" s="15" t="s">
        <v>142</v>
      </c>
      <c r="D33" s="15" t="s">
        <v>1159</v>
      </c>
      <c r="E33" s="16" t="n">
        <v>3</v>
      </c>
      <c r="F33" s="15" t="s">
        <v>1160</v>
      </c>
    </row>
    <row r="34" customFormat="false" ht="28.5" hidden="false" customHeight="true" outlineLevel="0" collapsed="false">
      <c r="A34" s="11" t="s">
        <v>319</v>
      </c>
      <c r="B34" s="12" t="s">
        <v>80</v>
      </c>
      <c r="C34" s="12" t="s">
        <v>142</v>
      </c>
      <c r="D34" s="12" t="s">
        <v>1161</v>
      </c>
      <c r="E34" s="13" t="n">
        <v>2</v>
      </c>
      <c r="F34" s="12" t="s">
        <v>1162</v>
      </c>
    </row>
    <row r="35" customFormat="false" ht="51.75" hidden="false" customHeight="true" outlineLevel="0" collapsed="false">
      <c r="A35" s="14" t="s">
        <v>348</v>
      </c>
      <c r="B35" s="15" t="s">
        <v>80</v>
      </c>
      <c r="C35" s="15" t="s">
        <v>150</v>
      </c>
      <c r="D35" s="15" t="s">
        <v>1163</v>
      </c>
      <c r="E35" s="16" t="n">
        <v>4</v>
      </c>
      <c r="F35" s="15" t="s">
        <v>1164</v>
      </c>
    </row>
    <row r="36" customFormat="false" ht="17.25" hidden="false" customHeight="true" outlineLevel="0" collapsed="false">
      <c r="A36" s="11" t="s">
        <v>391</v>
      </c>
      <c r="B36" s="12" t="s">
        <v>80</v>
      </c>
      <c r="C36" s="12" t="s">
        <v>153</v>
      </c>
      <c r="D36" s="12" t="s">
        <v>383</v>
      </c>
      <c r="E36" s="13" t="n">
        <v>1</v>
      </c>
      <c r="F36" s="12" t="s">
        <v>1165</v>
      </c>
    </row>
    <row r="37" customFormat="false" ht="17.25" hidden="false" customHeight="true" outlineLevel="0" collapsed="false">
      <c r="A37" s="14" t="s">
        <v>310</v>
      </c>
      <c r="B37" s="15" t="s">
        <v>80</v>
      </c>
      <c r="C37" s="15" t="s">
        <v>142</v>
      </c>
      <c r="D37" s="15" t="s">
        <v>307</v>
      </c>
      <c r="E37" s="16" t="n">
        <v>1</v>
      </c>
      <c r="F37" s="15" t="s">
        <v>1166</v>
      </c>
    </row>
    <row r="38" customFormat="false" ht="17.25" hidden="false" customHeight="true" outlineLevel="0" collapsed="false">
      <c r="A38" s="11" t="s">
        <v>310</v>
      </c>
      <c r="B38" s="12" t="s">
        <v>80</v>
      </c>
      <c r="C38" s="12" t="s">
        <v>153</v>
      </c>
      <c r="D38" s="12" t="s">
        <v>407</v>
      </c>
      <c r="E38" s="13" t="n">
        <v>1</v>
      </c>
      <c r="F38" s="12" t="s">
        <v>1167</v>
      </c>
    </row>
    <row r="39" customFormat="false" ht="28.5" hidden="false" customHeight="true" outlineLevel="0" collapsed="false">
      <c r="A39" s="14" t="s">
        <v>378</v>
      </c>
      <c r="B39" s="15" t="s">
        <v>80</v>
      </c>
      <c r="C39" s="15" t="s">
        <v>153</v>
      </c>
      <c r="D39" s="15" t="s">
        <v>1168</v>
      </c>
      <c r="E39" s="16" t="n">
        <v>2</v>
      </c>
      <c r="F39" s="15" t="s">
        <v>1169</v>
      </c>
    </row>
    <row r="40" customFormat="false" ht="28.5" hidden="false" customHeight="true" outlineLevel="0" collapsed="false">
      <c r="A40" s="11" t="s">
        <v>573</v>
      </c>
      <c r="B40" s="12" t="s">
        <v>105</v>
      </c>
      <c r="C40" s="12" t="s">
        <v>195</v>
      </c>
      <c r="D40" s="12" t="s">
        <v>1170</v>
      </c>
      <c r="E40" s="13" t="n">
        <v>2</v>
      </c>
      <c r="F40" s="12" t="s">
        <v>1171</v>
      </c>
    </row>
    <row r="41" customFormat="false" ht="28.5" hidden="false" customHeight="true" outlineLevel="0" collapsed="false">
      <c r="A41" s="14" t="s">
        <v>560</v>
      </c>
      <c r="B41" s="15" t="s">
        <v>105</v>
      </c>
      <c r="C41" s="15" t="s">
        <v>187</v>
      </c>
      <c r="D41" s="15" t="s">
        <v>1172</v>
      </c>
      <c r="E41" s="16" t="n">
        <v>2</v>
      </c>
      <c r="F41" s="15" t="s">
        <v>1173</v>
      </c>
    </row>
    <row r="42" customFormat="false" ht="17.25" hidden="false" customHeight="true" outlineLevel="0" collapsed="false">
      <c r="A42" s="11" t="s">
        <v>560</v>
      </c>
      <c r="B42" s="12" t="s">
        <v>105</v>
      </c>
      <c r="C42" s="12" t="s">
        <v>195</v>
      </c>
      <c r="D42" s="12" t="s">
        <v>581</v>
      </c>
      <c r="E42" s="13" t="n">
        <v>1</v>
      </c>
      <c r="F42" s="12" t="s">
        <v>1174</v>
      </c>
    </row>
  </sheetData>
  <autoFilter ref="A1:F4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D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16"/>
    <col collapsed="false" customWidth="true" hidden="false" outlineLevel="0" max="4" min="4" style="0" width="40"/>
  </cols>
  <sheetData>
    <row r="1" customFormat="false" ht="30" hidden="false" customHeight="true" outlineLevel="0" collapsed="false">
      <c r="A1" s="10" t="s">
        <v>1175</v>
      </c>
      <c r="B1" s="10" t="s">
        <v>1176</v>
      </c>
      <c r="C1" s="10" t="s">
        <v>1177</v>
      </c>
      <c r="D1" s="10" t="s">
        <v>1178</v>
      </c>
    </row>
    <row r="2" customFormat="false" ht="28.5" hidden="false" customHeight="true" outlineLevel="0" collapsed="false">
      <c r="A2" s="11" t="s">
        <v>1179</v>
      </c>
      <c r="B2" s="12" t="s">
        <v>1180</v>
      </c>
      <c r="C2" s="12" t="s">
        <v>233</v>
      </c>
      <c r="D2" s="12" t="s">
        <v>1181</v>
      </c>
    </row>
    <row r="3" customFormat="false" ht="28.5" hidden="false" customHeight="true" outlineLevel="0" collapsed="false">
      <c r="A3" s="14" t="s">
        <v>1182</v>
      </c>
      <c r="B3" s="15" t="s">
        <v>1183</v>
      </c>
      <c r="C3" s="15" t="s">
        <v>233</v>
      </c>
      <c r="D3" s="15" t="s">
        <v>1184</v>
      </c>
    </row>
    <row r="4" customFormat="false" ht="17.25" hidden="false" customHeight="true" outlineLevel="0" collapsed="false">
      <c r="A4" s="11" t="s">
        <v>1185</v>
      </c>
      <c r="B4" s="12" t="s">
        <v>1186</v>
      </c>
      <c r="C4" s="12" t="s">
        <v>233</v>
      </c>
      <c r="D4" s="12" t="s">
        <v>1187</v>
      </c>
    </row>
    <row r="5" customFormat="false" ht="17.25" hidden="false" customHeight="true" outlineLevel="0" collapsed="false">
      <c r="A5" s="14" t="s">
        <v>1188</v>
      </c>
      <c r="B5" s="15" t="s">
        <v>1189</v>
      </c>
      <c r="C5" s="15" t="s">
        <v>233</v>
      </c>
      <c r="D5" s="15" t="s">
        <v>1187</v>
      </c>
    </row>
    <row r="6" customFormat="false" ht="17.25" hidden="false" customHeight="true" outlineLevel="0" collapsed="false">
      <c r="A6" s="11" t="s">
        <v>1190</v>
      </c>
      <c r="B6" s="12" t="s">
        <v>1191</v>
      </c>
      <c r="C6" s="12" t="s">
        <v>233</v>
      </c>
      <c r="D6" s="12" t="s">
        <v>1192</v>
      </c>
    </row>
    <row r="7" customFormat="false" ht="17.25" hidden="false" customHeight="true" outlineLevel="0" collapsed="false">
      <c r="A7" s="14" t="s">
        <v>1193</v>
      </c>
      <c r="B7" s="15" t="s">
        <v>1194</v>
      </c>
      <c r="C7" s="15" t="s">
        <v>233</v>
      </c>
      <c r="D7" s="15" t="s">
        <v>1195</v>
      </c>
    </row>
    <row r="8" customFormat="false" ht="28.5" hidden="false" customHeight="true" outlineLevel="0" collapsed="false">
      <c r="A8" s="11" t="s">
        <v>1196</v>
      </c>
      <c r="B8" s="12" t="s">
        <v>1197</v>
      </c>
      <c r="C8" s="12" t="s">
        <v>609</v>
      </c>
      <c r="D8" s="12" t="s">
        <v>1198</v>
      </c>
    </row>
    <row r="9" customFormat="false" ht="28.5" hidden="false" customHeight="true" outlineLevel="0" collapsed="false">
      <c r="A9" s="14" t="s">
        <v>1199</v>
      </c>
      <c r="B9" s="15" t="s">
        <v>1200</v>
      </c>
      <c r="C9" s="15" t="s">
        <v>233</v>
      </c>
      <c r="D9" s="15" t="s">
        <v>1201</v>
      </c>
    </row>
    <row r="10" customFormat="false" ht="17.25" hidden="false" customHeight="true" outlineLevel="0" collapsed="false">
      <c r="A10" s="11" t="s">
        <v>1202</v>
      </c>
      <c r="B10" s="12" t="s">
        <v>1203</v>
      </c>
      <c r="C10" s="12" t="s">
        <v>233</v>
      </c>
      <c r="D10" s="12" t="s">
        <v>1204</v>
      </c>
    </row>
    <row r="11" customFormat="false" ht="17.25" hidden="false" customHeight="true" outlineLevel="0" collapsed="false">
      <c r="A11" s="14" t="s">
        <v>1205</v>
      </c>
      <c r="B11" s="15" t="s">
        <v>1203</v>
      </c>
      <c r="C11" s="15" t="s">
        <v>233</v>
      </c>
      <c r="D11" s="15" t="s">
        <v>977</v>
      </c>
    </row>
    <row r="12" customFormat="false" ht="17.25" hidden="false" customHeight="true" outlineLevel="0" collapsed="false">
      <c r="A12" s="11" t="s">
        <v>1206</v>
      </c>
      <c r="B12" s="12" t="s">
        <v>1203</v>
      </c>
      <c r="C12" s="12" t="s">
        <v>256</v>
      </c>
      <c r="D12" s="12" t="s">
        <v>1207</v>
      </c>
    </row>
    <row r="13" customFormat="false" ht="17.25" hidden="false" customHeight="true" outlineLevel="0" collapsed="false">
      <c r="A13" s="14" t="s">
        <v>1208</v>
      </c>
      <c r="B13" s="15" t="s">
        <v>1209</v>
      </c>
      <c r="C13" s="15" t="s">
        <v>256</v>
      </c>
      <c r="D13" s="15" t="s">
        <v>1210</v>
      </c>
    </row>
    <row r="14" customFormat="false" ht="17.25" hidden="false" customHeight="true" outlineLevel="0" collapsed="false">
      <c r="A14" s="11" t="s">
        <v>1211</v>
      </c>
      <c r="B14" s="12" t="s">
        <v>1212</v>
      </c>
      <c r="C14" s="12" t="s">
        <v>256</v>
      </c>
      <c r="D14" s="12" t="s">
        <v>1213</v>
      </c>
    </row>
  </sheetData>
  <autoFilter ref="A1:D1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D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6"/>
    <col collapsed="false" customWidth="true" hidden="false" outlineLevel="0" max="4" min="4" style="0" width="16"/>
  </cols>
  <sheetData>
    <row r="1" customFormat="false" ht="30" hidden="false" customHeight="true" outlineLevel="0" collapsed="false">
      <c r="A1" s="10" t="s">
        <v>1214</v>
      </c>
      <c r="B1" s="10" t="s">
        <v>1215</v>
      </c>
      <c r="C1" s="10" t="s">
        <v>1216</v>
      </c>
      <c r="D1" s="10" t="s">
        <v>1217</v>
      </c>
    </row>
    <row r="2" customFormat="false" ht="17.25" hidden="false" customHeight="true" outlineLevel="0" collapsed="false">
      <c r="A2" s="11" t="s">
        <v>1218</v>
      </c>
      <c r="B2" s="12" t="s">
        <v>1219</v>
      </c>
      <c r="C2" s="12" t="s">
        <v>1220</v>
      </c>
      <c r="D2" s="12" t="s">
        <v>248</v>
      </c>
    </row>
    <row r="3" customFormat="false" ht="17.25" hidden="false" customHeight="true" outlineLevel="0" collapsed="false">
      <c r="A3" s="14" t="s">
        <v>1221</v>
      </c>
      <c r="B3" s="15" t="s">
        <v>1219</v>
      </c>
      <c r="C3" s="15" t="s">
        <v>1222</v>
      </c>
      <c r="D3" s="15" t="s">
        <v>248</v>
      </c>
    </row>
    <row r="4" customFormat="false" ht="28.5" hidden="false" customHeight="true" outlineLevel="0" collapsed="false">
      <c r="A4" s="11" t="s">
        <v>66</v>
      </c>
      <c r="B4" s="12" t="s">
        <v>1219</v>
      </c>
      <c r="C4" s="12" t="s">
        <v>1223</v>
      </c>
      <c r="D4" s="12" t="s">
        <v>248</v>
      </c>
    </row>
    <row r="5" customFormat="false" ht="17.25" hidden="false" customHeight="true" outlineLevel="0" collapsed="false">
      <c r="A5" s="14" t="s">
        <v>1224</v>
      </c>
      <c r="B5" s="15" t="s">
        <v>1219</v>
      </c>
      <c r="C5" s="15" t="s">
        <v>1225</v>
      </c>
      <c r="D5" s="15" t="s">
        <v>248</v>
      </c>
    </row>
    <row r="6" customFormat="false" ht="17.25" hidden="false" customHeight="true" outlineLevel="0" collapsed="false">
      <c r="A6" s="11" t="s">
        <v>1226</v>
      </c>
      <c r="B6" s="12" t="s">
        <v>1227</v>
      </c>
      <c r="C6" s="12" t="s">
        <v>1228</v>
      </c>
      <c r="D6" s="12" t="s">
        <v>248</v>
      </c>
    </row>
    <row r="7" customFormat="false" ht="17.25" hidden="false" customHeight="true" outlineLevel="0" collapsed="false">
      <c r="A7" s="14" t="s">
        <v>1229</v>
      </c>
      <c r="B7" s="15" t="s">
        <v>1230</v>
      </c>
      <c r="C7" s="15" t="s">
        <v>1231</v>
      </c>
      <c r="D7" s="15" t="s">
        <v>248</v>
      </c>
    </row>
    <row r="8" customFormat="false" ht="28.5" hidden="false" customHeight="true" outlineLevel="0" collapsed="false">
      <c r="A8" s="11" t="s">
        <v>1232</v>
      </c>
      <c r="B8" s="12" t="s">
        <v>96</v>
      </c>
      <c r="C8" s="12" t="s">
        <v>1233</v>
      </c>
      <c r="D8" s="12" t="s">
        <v>507</v>
      </c>
    </row>
    <row r="9" customFormat="false" ht="28.5" hidden="false" customHeight="true" outlineLevel="0" collapsed="false">
      <c r="A9" s="14" t="s">
        <v>1234</v>
      </c>
      <c r="B9" s="15" t="s">
        <v>1235</v>
      </c>
      <c r="C9" s="15" t="s">
        <v>1236</v>
      </c>
      <c r="D9" s="15" t="s">
        <v>256</v>
      </c>
    </row>
    <row r="10" customFormat="false" ht="17.25" hidden="false" customHeight="true" outlineLevel="0" collapsed="false">
      <c r="A10" s="11" t="s">
        <v>1237</v>
      </c>
      <c r="B10" s="12" t="s">
        <v>1238</v>
      </c>
      <c r="C10" s="12" t="s">
        <v>1239</v>
      </c>
      <c r="D10" s="12" t="s">
        <v>248</v>
      </c>
    </row>
    <row r="11" customFormat="false" ht="28.5" hidden="false" customHeight="true" outlineLevel="0" collapsed="false">
      <c r="A11" s="14" t="s">
        <v>1240</v>
      </c>
      <c r="B11" s="15" t="s">
        <v>1241</v>
      </c>
      <c r="C11" s="15" t="s">
        <v>1242</v>
      </c>
      <c r="D11" s="15" t="s">
        <v>256</v>
      </c>
    </row>
    <row r="12" customFormat="false" ht="28.5" hidden="false" customHeight="true" outlineLevel="0" collapsed="false">
      <c r="A12" s="11" t="s">
        <v>1243</v>
      </c>
      <c r="B12" s="12" t="s">
        <v>1219</v>
      </c>
      <c r="C12" s="12" t="s">
        <v>1244</v>
      </c>
      <c r="D12" s="12" t="s">
        <v>248</v>
      </c>
    </row>
    <row r="13" customFormat="false" ht="28.5" hidden="false" customHeight="true" outlineLevel="0" collapsed="false">
      <c r="A13" s="14" t="s">
        <v>1245</v>
      </c>
      <c r="B13" s="15" t="s">
        <v>1246</v>
      </c>
      <c r="C13" s="15" t="s">
        <v>1247</v>
      </c>
      <c r="D13" s="15" t="s">
        <v>276</v>
      </c>
    </row>
    <row r="14" customFormat="false" ht="28.5" hidden="false" customHeight="true" outlineLevel="0" collapsed="false">
      <c r="A14" s="11" t="s">
        <v>1248</v>
      </c>
      <c r="B14" s="12" t="s">
        <v>1249</v>
      </c>
      <c r="C14" s="12" t="s">
        <v>1250</v>
      </c>
      <c r="D14" s="12" t="s">
        <v>283</v>
      </c>
    </row>
    <row r="15" customFormat="false" ht="28.5" hidden="false" customHeight="true" outlineLevel="0" collapsed="false">
      <c r="A15" s="14" t="s">
        <v>1251</v>
      </c>
      <c r="B15" s="15" t="s">
        <v>1252</v>
      </c>
      <c r="C15" s="15" t="s">
        <v>1253</v>
      </c>
      <c r="D15" s="15" t="s">
        <v>1254</v>
      </c>
    </row>
    <row r="16" customFormat="false" ht="17.25" hidden="false" customHeight="true" outlineLevel="0" collapsed="false">
      <c r="A16" s="11" t="s">
        <v>1255</v>
      </c>
      <c r="B16" s="12" t="s">
        <v>1219</v>
      </c>
      <c r="C16" s="12" t="s">
        <v>1256</v>
      </c>
      <c r="D16" s="12" t="s">
        <v>233</v>
      </c>
    </row>
  </sheetData>
  <autoFilter ref="A1:D1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F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12"/>
    <col collapsed="false" customWidth="true" hidden="false" outlineLevel="0" max="4" min="4" style="0" width="46"/>
    <col collapsed="false" customWidth="true" hidden="false" outlineLevel="0" max="5" min="5" style="0" width="52"/>
    <col collapsed="false" customWidth="true" hidden="false" outlineLevel="0" max="6" min="6" style="0" width="18"/>
  </cols>
  <sheetData>
    <row r="1" customFormat="false" ht="30" hidden="false" customHeight="true" outlineLevel="0" collapsed="false">
      <c r="A1" s="10" t="s">
        <v>1257</v>
      </c>
      <c r="B1" s="10" t="s">
        <v>1258</v>
      </c>
      <c r="C1" s="10" t="s">
        <v>1259</v>
      </c>
      <c r="D1" s="10" t="s">
        <v>1260</v>
      </c>
      <c r="E1" s="10" t="s">
        <v>1261</v>
      </c>
      <c r="F1" s="10" t="s">
        <v>1217</v>
      </c>
    </row>
    <row r="2" customFormat="false" ht="28.5" hidden="false" customHeight="true" outlineLevel="0" collapsed="false">
      <c r="A2" s="35" t="n">
        <v>1</v>
      </c>
      <c r="B2" s="12" t="s">
        <v>1262</v>
      </c>
      <c r="C2" s="17" t="s">
        <v>274</v>
      </c>
      <c r="D2" s="12" t="s">
        <v>1263</v>
      </c>
      <c r="E2" s="12" t="s">
        <v>1264</v>
      </c>
      <c r="F2" s="12" t="s">
        <v>1265</v>
      </c>
    </row>
    <row r="3" customFormat="false" ht="28.5" hidden="false" customHeight="true" outlineLevel="0" collapsed="false">
      <c r="A3" s="36" t="n">
        <v>2</v>
      </c>
      <c r="B3" s="15" t="s">
        <v>1266</v>
      </c>
      <c r="C3" s="17" t="s">
        <v>274</v>
      </c>
      <c r="D3" s="15" t="s">
        <v>1267</v>
      </c>
      <c r="E3" s="15" t="s">
        <v>1268</v>
      </c>
      <c r="F3" s="15" t="s">
        <v>1269</v>
      </c>
    </row>
    <row r="4" customFormat="false" ht="28.5" hidden="false" customHeight="true" outlineLevel="0" collapsed="false">
      <c r="A4" s="35" t="n">
        <v>3</v>
      </c>
      <c r="B4" s="12" t="s">
        <v>1270</v>
      </c>
      <c r="C4" s="19" t="s">
        <v>367</v>
      </c>
      <c r="D4" s="12" t="s">
        <v>1271</v>
      </c>
      <c r="E4" s="12" t="s">
        <v>1272</v>
      </c>
      <c r="F4" s="12" t="s">
        <v>802</v>
      </c>
    </row>
    <row r="5" customFormat="false" ht="28.5" hidden="false" customHeight="true" outlineLevel="0" collapsed="false">
      <c r="A5" s="36" t="n">
        <v>4</v>
      </c>
      <c r="B5" s="15" t="s">
        <v>1273</v>
      </c>
      <c r="C5" s="19" t="s">
        <v>367</v>
      </c>
      <c r="D5" s="15" t="s">
        <v>1274</v>
      </c>
      <c r="E5" s="15" t="s">
        <v>1275</v>
      </c>
      <c r="F5" s="15" t="s">
        <v>1276</v>
      </c>
    </row>
    <row r="6" customFormat="false" ht="28.5" hidden="false" customHeight="true" outlineLevel="0" collapsed="false">
      <c r="A6" s="35" t="n">
        <v>5</v>
      </c>
      <c r="B6" s="12" t="s">
        <v>1277</v>
      </c>
      <c r="C6" s="19" t="s">
        <v>367</v>
      </c>
      <c r="D6" s="12" t="s">
        <v>1278</v>
      </c>
      <c r="E6" s="12" t="s">
        <v>1279</v>
      </c>
      <c r="F6" s="12" t="s">
        <v>1280</v>
      </c>
    </row>
    <row r="7" customFormat="false" ht="28.5" hidden="false" customHeight="true" outlineLevel="0" collapsed="false">
      <c r="A7" s="36" t="n">
        <v>6</v>
      </c>
      <c r="B7" s="15" t="s">
        <v>1281</v>
      </c>
      <c r="C7" s="19" t="s">
        <v>367</v>
      </c>
      <c r="D7" s="15" t="s">
        <v>1282</v>
      </c>
      <c r="E7" s="15" t="s">
        <v>1283</v>
      </c>
      <c r="F7" s="15" t="s">
        <v>1284</v>
      </c>
    </row>
    <row r="8" customFormat="false" ht="28.5" hidden="false" customHeight="true" outlineLevel="0" collapsed="false">
      <c r="A8" s="35" t="n">
        <v>7</v>
      </c>
      <c r="B8" s="12" t="s">
        <v>1285</v>
      </c>
      <c r="C8" s="19" t="s">
        <v>367</v>
      </c>
      <c r="D8" s="12" t="s">
        <v>1286</v>
      </c>
      <c r="E8" s="12" t="s">
        <v>1287</v>
      </c>
      <c r="F8" s="12" t="s">
        <v>1288</v>
      </c>
    </row>
    <row r="9" customFormat="false" ht="28.5" hidden="false" customHeight="true" outlineLevel="0" collapsed="false">
      <c r="A9" s="36" t="n">
        <v>8</v>
      </c>
      <c r="B9" s="15" t="s">
        <v>1289</v>
      </c>
      <c r="C9" s="20" t="s">
        <v>772</v>
      </c>
      <c r="D9" s="15" t="s">
        <v>1290</v>
      </c>
      <c r="E9" s="15" t="s">
        <v>1291</v>
      </c>
      <c r="F9" s="15" t="s">
        <v>1292</v>
      </c>
    </row>
    <row r="10" customFormat="false" ht="28.5" hidden="false" customHeight="true" outlineLevel="0" collapsed="false">
      <c r="A10" s="35" t="n">
        <v>9</v>
      </c>
      <c r="B10" s="12" t="s">
        <v>1293</v>
      </c>
      <c r="C10" s="20" t="s">
        <v>772</v>
      </c>
      <c r="D10" s="12" t="s">
        <v>1294</v>
      </c>
      <c r="E10" s="12" t="s">
        <v>1295</v>
      </c>
      <c r="F10" s="12" t="s">
        <v>551</v>
      </c>
    </row>
    <row r="11" customFormat="false" ht="28.5" hidden="false" customHeight="true" outlineLevel="0" collapsed="false">
      <c r="A11" s="36" t="n">
        <v>10</v>
      </c>
      <c r="B11" s="15" t="s">
        <v>1296</v>
      </c>
      <c r="C11" s="20" t="s">
        <v>772</v>
      </c>
      <c r="D11" s="15" t="s">
        <v>1297</v>
      </c>
      <c r="E11" s="15" t="s">
        <v>1298</v>
      </c>
      <c r="F11" s="15" t="s">
        <v>649</v>
      </c>
    </row>
  </sheetData>
  <autoFilter ref="A1:F1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O1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60"/>
    <col collapsed="false" customWidth="true" hidden="false" outlineLevel="0" max="15" min="6" style="0" width="18"/>
  </cols>
  <sheetData>
    <row r="1" customFormat="false" ht="25.5" hidden="false" customHeight="true" outlineLevel="0" collapsed="false">
      <c r="A1" s="10" t="s">
        <v>1299</v>
      </c>
      <c r="B1" s="10" t="s">
        <v>1300</v>
      </c>
      <c r="C1" s="10" t="s">
        <v>1301</v>
      </c>
      <c r="D1" s="10" t="s">
        <v>1302</v>
      </c>
      <c r="E1" s="10" t="s">
        <v>1303</v>
      </c>
      <c r="F1" s="10" t="s">
        <v>1304</v>
      </c>
      <c r="G1" s="10" t="s">
        <v>228</v>
      </c>
      <c r="H1" s="10" t="s">
        <v>1305</v>
      </c>
      <c r="I1" s="10" t="s">
        <v>1306</v>
      </c>
      <c r="J1" s="10" t="s">
        <v>1307</v>
      </c>
      <c r="K1" s="10" t="s">
        <v>229</v>
      </c>
      <c r="L1" s="10" t="s">
        <v>1308</v>
      </c>
      <c r="M1" s="10" t="s">
        <v>1309</v>
      </c>
      <c r="N1" s="10" t="s">
        <v>232</v>
      </c>
      <c r="O1" s="10" t="s">
        <v>1310</v>
      </c>
    </row>
    <row r="2" customFormat="false" ht="12.75" hidden="false" customHeight="true" outlineLevel="0" collapsed="false">
      <c r="A2" s="37" t="n">
        <v>1</v>
      </c>
      <c r="B2" s="37" t="s">
        <v>128</v>
      </c>
      <c r="C2" s="37" t="s">
        <v>221</v>
      </c>
      <c r="D2" s="37" t="s">
        <v>1311</v>
      </c>
      <c r="E2" s="38" t="s">
        <v>1312</v>
      </c>
      <c r="F2" s="37" t="s">
        <v>236</v>
      </c>
      <c r="G2" s="37" t="s">
        <v>274</v>
      </c>
      <c r="H2" s="37"/>
      <c r="I2" s="37" t="s">
        <v>128</v>
      </c>
      <c r="J2" s="37"/>
      <c r="K2" s="37"/>
      <c r="L2" s="37" t="s">
        <v>1313</v>
      </c>
      <c r="M2" s="37" t="s">
        <v>78</v>
      </c>
      <c r="N2" s="37" t="s">
        <v>1314</v>
      </c>
      <c r="O2" s="37"/>
    </row>
    <row r="3" customFormat="false" ht="12.75" hidden="false" customHeight="true" outlineLevel="0" collapsed="false">
      <c r="A3" s="37" t="n">
        <v>2</v>
      </c>
      <c r="B3" s="37" t="s">
        <v>136</v>
      </c>
      <c r="C3" s="37" t="s">
        <v>221</v>
      </c>
      <c r="D3" s="37" t="s">
        <v>1315</v>
      </c>
      <c r="E3" s="38" t="s">
        <v>1316</v>
      </c>
      <c r="F3" s="37" t="s">
        <v>236</v>
      </c>
      <c r="G3" s="37" t="s">
        <v>274</v>
      </c>
      <c r="H3" s="37"/>
      <c r="I3" s="37" t="s">
        <v>136</v>
      </c>
      <c r="J3" s="37"/>
      <c r="K3" s="37"/>
      <c r="L3" s="37" t="s">
        <v>1313</v>
      </c>
      <c r="M3" s="37" t="s">
        <v>78</v>
      </c>
      <c r="N3" s="37" t="s">
        <v>1314</v>
      </c>
      <c r="O3" s="37"/>
    </row>
    <row r="4" customFormat="false" ht="12.75" hidden="false" customHeight="true" outlineLevel="0" collapsed="false">
      <c r="A4" s="37" t="n">
        <v>3</v>
      </c>
      <c r="B4" s="37" t="s">
        <v>139</v>
      </c>
      <c r="C4" s="37" t="s">
        <v>221</v>
      </c>
      <c r="D4" s="37" t="s">
        <v>1317</v>
      </c>
      <c r="E4" s="38" t="s">
        <v>1318</v>
      </c>
      <c r="F4" s="37" t="s">
        <v>236</v>
      </c>
      <c r="G4" s="37" t="s">
        <v>274</v>
      </c>
      <c r="H4" s="37"/>
      <c r="I4" s="37" t="s">
        <v>139</v>
      </c>
      <c r="J4" s="37"/>
      <c r="K4" s="37"/>
      <c r="L4" s="37" t="s">
        <v>1313</v>
      </c>
      <c r="M4" s="37" t="s">
        <v>78</v>
      </c>
      <c r="N4" s="37" t="s">
        <v>1314</v>
      </c>
      <c r="O4" s="37"/>
    </row>
    <row r="5" customFormat="false" ht="12.75" hidden="false" customHeight="true" outlineLevel="0" collapsed="false">
      <c r="A5" s="37" t="n">
        <v>4</v>
      </c>
      <c r="B5" s="37" t="s">
        <v>233</v>
      </c>
      <c r="C5" s="37" t="s">
        <v>234</v>
      </c>
      <c r="D5" s="37" t="s">
        <v>1319</v>
      </c>
      <c r="E5" s="38" t="s">
        <v>1320</v>
      </c>
      <c r="F5" s="37" t="s">
        <v>236</v>
      </c>
      <c r="G5" s="37" t="s">
        <v>243</v>
      </c>
      <c r="H5" s="37" t="n">
        <v>5</v>
      </c>
      <c r="I5" s="37"/>
      <c r="J5" s="37" t="s">
        <v>128</v>
      </c>
      <c r="K5" s="37" t="s">
        <v>1321</v>
      </c>
      <c r="L5" s="37" t="s">
        <v>1313</v>
      </c>
      <c r="M5" s="37" t="s">
        <v>245</v>
      </c>
      <c r="N5" s="37" t="s">
        <v>247</v>
      </c>
      <c r="O5" s="37"/>
    </row>
    <row r="6" customFormat="false" ht="12.75" hidden="false" customHeight="true" outlineLevel="0" collapsed="false">
      <c r="A6" s="37" t="n">
        <v>5</v>
      </c>
      <c r="B6" s="37" t="s">
        <v>248</v>
      </c>
      <c r="C6" s="37" t="s">
        <v>234</v>
      </c>
      <c r="D6" s="37" t="s">
        <v>1322</v>
      </c>
      <c r="E6" s="38" t="s">
        <v>1323</v>
      </c>
      <c r="F6" s="37" t="s">
        <v>236</v>
      </c>
      <c r="G6" s="37" t="s">
        <v>243</v>
      </c>
      <c r="H6" s="37" t="n">
        <v>5</v>
      </c>
      <c r="I6" s="37"/>
      <c r="J6" s="37" t="s">
        <v>136</v>
      </c>
      <c r="K6" s="37" t="s">
        <v>1321</v>
      </c>
      <c r="L6" s="37" t="s">
        <v>1313</v>
      </c>
      <c r="M6" s="37" t="s">
        <v>245</v>
      </c>
      <c r="N6" s="37" t="s">
        <v>255</v>
      </c>
      <c r="O6" s="37" t="s">
        <v>233</v>
      </c>
    </row>
    <row r="7" customFormat="false" ht="12.75" hidden="false" customHeight="true" outlineLevel="0" collapsed="false">
      <c r="A7" s="37" t="n">
        <v>6</v>
      </c>
      <c r="B7" s="37" t="s">
        <v>256</v>
      </c>
      <c r="C7" s="37" t="s">
        <v>234</v>
      </c>
      <c r="D7" s="37" t="s">
        <v>1324</v>
      </c>
      <c r="E7" s="38" t="s">
        <v>1325</v>
      </c>
      <c r="F7" s="37" t="s">
        <v>236</v>
      </c>
      <c r="G7" s="37" t="s">
        <v>243</v>
      </c>
      <c r="H7" s="37" t="n">
        <v>5</v>
      </c>
      <c r="I7" s="37"/>
      <c r="J7" s="37" t="s">
        <v>128</v>
      </c>
      <c r="K7" s="37" t="s">
        <v>1326</v>
      </c>
      <c r="L7" s="37" t="s">
        <v>1313</v>
      </c>
      <c r="M7" s="37" t="s">
        <v>245</v>
      </c>
      <c r="N7" s="37" t="s">
        <v>262</v>
      </c>
      <c r="O7" s="37" t="s">
        <v>233</v>
      </c>
    </row>
    <row r="8" customFormat="false" ht="12.75" hidden="false" customHeight="true" outlineLevel="0" collapsed="false">
      <c r="A8" s="37" t="n">
        <v>7</v>
      </c>
      <c r="B8" s="37" t="s">
        <v>263</v>
      </c>
      <c r="C8" s="37" t="s">
        <v>234</v>
      </c>
      <c r="D8" s="37" t="s">
        <v>1327</v>
      </c>
      <c r="E8" s="38" t="s">
        <v>1328</v>
      </c>
      <c r="F8" s="37" t="s">
        <v>236</v>
      </c>
      <c r="G8" s="37" t="s">
        <v>243</v>
      </c>
      <c r="H8" s="37" t="n">
        <v>3</v>
      </c>
      <c r="I8" s="37"/>
      <c r="J8" s="37" t="s">
        <v>136</v>
      </c>
      <c r="K8" s="37" t="s">
        <v>1326</v>
      </c>
      <c r="L8" s="37" t="s">
        <v>1313</v>
      </c>
      <c r="M8" s="37" t="s">
        <v>245</v>
      </c>
      <c r="N8" s="37" t="s">
        <v>268</v>
      </c>
      <c r="O8" s="37" t="s">
        <v>248</v>
      </c>
    </row>
    <row r="9" customFormat="false" ht="12.75" hidden="false" customHeight="true" outlineLevel="0" collapsed="false">
      <c r="A9" s="37" t="n">
        <v>8</v>
      </c>
      <c r="B9" s="37" t="s">
        <v>269</v>
      </c>
      <c r="C9" s="37" t="s">
        <v>234</v>
      </c>
      <c r="D9" s="37" t="s">
        <v>1329</v>
      </c>
      <c r="E9" s="38" t="s">
        <v>1330</v>
      </c>
      <c r="F9" s="37" t="s">
        <v>236</v>
      </c>
      <c r="G9" s="37" t="s">
        <v>274</v>
      </c>
      <c r="H9" s="37" t="n">
        <v>3</v>
      </c>
      <c r="I9" s="37"/>
      <c r="J9" s="37" t="s">
        <v>139</v>
      </c>
      <c r="K9" s="37" t="s">
        <v>1326</v>
      </c>
      <c r="L9" s="37" t="s">
        <v>1313</v>
      </c>
      <c r="M9" s="37" t="s">
        <v>245</v>
      </c>
      <c r="N9" s="37" t="s">
        <v>275</v>
      </c>
      <c r="O9" s="37" t="s">
        <v>233</v>
      </c>
    </row>
    <row r="10" customFormat="false" ht="12.75" hidden="false" customHeight="true" outlineLevel="0" collapsed="false">
      <c r="A10" s="37" t="n">
        <v>9</v>
      </c>
      <c r="B10" s="37" t="s">
        <v>276</v>
      </c>
      <c r="C10" s="37" t="s">
        <v>234</v>
      </c>
      <c r="D10" s="37" t="s">
        <v>1331</v>
      </c>
      <c r="E10" s="38" t="s">
        <v>1332</v>
      </c>
      <c r="F10" s="37" t="s">
        <v>278</v>
      </c>
      <c r="G10" s="37" t="s">
        <v>243</v>
      </c>
      <c r="H10" s="37" t="n">
        <v>3</v>
      </c>
      <c r="I10" s="37"/>
      <c r="J10" s="37" t="s">
        <v>139</v>
      </c>
      <c r="K10" s="37" t="s">
        <v>1326</v>
      </c>
      <c r="L10" s="37" t="s">
        <v>1313</v>
      </c>
      <c r="M10" s="37" t="s">
        <v>245</v>
      </c>
      <c r="N10" s="37" t="s">
        <v>282</v>
      </c>
      <c r="O10" s="37" t="s">
        <v>233</v>
      </c>
    </row>
    <row r="11" customFormat="false" ht="12.75" hidden="false" customHeight="true" outlineLevel="0" collapsed="false">
      <c r="A11" s="37" t="n">
        <v>10</v>
      </c>
      <c r="B11" s="37" t="s">
        <v>283</v>
      </c>
      <c r="C11" s="37" t="s">
        <v>234</v>
      </c>
      <c r="D11" s="37" t="s">
        <v>1333</v>
      </c>
      <c r="E11" s="38" t="s">
        <v>1334</v>
      </c>
      <c r="F11" s="37" t="s">
        <v>236</v>
      </c>
      <c r="G11" s="37" t="s">
        <v>274</v>
      </c>
      <c r="H11" s="37" t="n">
        <v>3</v>
      </c>
      <c r="I11" s="37"/>
      <c r="J11" s="37" t="s">
        <v>139</v>
      </c>
      <c r="K11" s="37" t="s">
        <v>1326</v>
      </c>
      <c r="L11" s="37" t="s">
        <v>1313</v>
      </c>
      <c r="M11" s="37" t="s">
        <v>245</v>
      </c>
      <c r="N11" s="37" t="s">
        <v>288</v>
      </c>
      <c r="O11" s="37"/>
    </row>
    <row r="12" customFormat="false" ht="12.75" hidden="false" customHeight="true" outlineLevel="0" collapsed="false">
      <c r="A12" s="37" t="n">
        <v>11</v>
      </c>
      <c r="B12" s="37" t="s">
        <v>289</v>
      </c>
      <c r="C12" s="37" t="s">
        <v>234</v>
      </c>
      <c r="D12" s="37" t="s">
        <v>1335</v>
      </c>
      <c r="E12" s="38" t="s">
        <v>1336</v>
      </c>
      <c r="F12" s="37" t="s">
        <v>291</v>
      </c>
      <c r="G12" s="37" t="s">
        <v>274</v>
      </c>
      <c r="H12" s="37" t="n">
        <v>3</v>
      </c>
      <c r="I12" s="37"/>
      <c r="J12" s="37" t="s">
        <v>139</v>
      </c>
      <c r="K12" s="37" t="s">
        <v>1326</v>
      </c>
      <c r="L12" s="37" t="s">
        <v>1313</v>
      </c>
      <c r="M12" s="37" t="s">
        <v>245</v>
      </c>
      <c r="N12" s="37" t="s">
        <v>295</v>
      </c>
      <c r="O12" s="37"/>
    </row>
    <row r="13" customFormat="false" ht="12.75" hidden="false" customHeight="true" outlineLevel="0" collapsed="false">
      <c r="A13" s="37" t="n">
        <v>12</v>
      </c>
      <c r="B13" s="37" t="s">
        <v>296</v>
      </c>
      <c r="C13" s="37" t="s">
        <v>234</v>
      </c>
      <c r="D13" s="37" t="s">
        <v>1337</v>
      </c>
      <c r="E13" s="38" t="s">
        <v>1338</v>
      </c>
      <c r="F13" s="37" t="s">
        <v>278</v>
      </c>
      <c r="G13" s="37" t="s">
        <v>243</v>
      </c>
      <c r="H13" s="37" t="n">
        <v>3</v>
      </c>
      <c r="I13" s="37"/>
      <c r="J13" s="37" t="s">
        <v>139</v>
      </c>
      <c r="K13" s="37" t="s">
        <v>1321</v>
      </c>
      <c r="L13" s="37" t="s">
        <v>1313</v>
      </c>
      <c r="M13" s="37" t="s">
        <v>245</v>
      </c>
      <c r="N13" s="37" t="s">
        <v>300</v>
      </c>
      <c r="O13" s="37"/>
    </row>
    <row r="14" customFormat="false" ht="12.75" hidden="false" customHeight="true" outlineLevel="0" collapsed="false">
      <c r="A14" s="37" t="n">
        <v>13</v>
      </c>
      <c r="B14" s="37" t="s">
        <v>301</v>
      </c>
      <c r="C14" s="37" t="s">
        <v>234</v>
      </c>
      <c r="D14" s="37" t="s">
        <v>1339</v>
      </c>
      <c r="E14" s="38" t="s">
        <v>1340</v>
      </c>
      <c r="F14" s="37" t="s">
        <v>278</v>
      </c>
      <c r="G14" s="37" t="s">
        <v>274</v>
      </c>
      <c r="H14" s="37" t="n">
        <v>3</v>
      </c>
      <c r="I14" s="37"/>
      <c r="J14" s="37" t="s">
        <v>139</v>
      </c>
      <c r="K14" s="37" t="s">
        <v>1326</v>
      </c>
      <c r="L14" s="37" t="s">
        <v>1313</v>
      </c>
      <c r="M14" s="37" t="s">
        <v>245</v>
      </c>
      <c r="N14" s="37" t="s">
        <v>306</v>
      </c>
      <c r="O14" s="37" t="s">
        <v>296</v>
      </c>
    </row>
    <row r="15" customFormat="false" ht="12.75" hidden="false" customHeight="true" outlineLevel="0" collapsed="false">
      <c r="A15" s="37" t="n">
        <v>14</v>
      </c>
      <c r="B15" s="37" t="s">
        <v>142</v>
      </c>
      <c r="C15" s="37" t="s">
        <v>221</v>
      </c>
      <c r="D15" s="37" t="s">
        <v>1341</v>
      </c>
      <c r="E15" s="38" t="s">
        <v>1342</v>
      </c>
      <c r="F15" s="37" t="s">
        <v>82</v>
      </c>
      <c r="G15" s="37" t="s">
        <v>274</v>
      </c>
      <c r="H15" s="37"/>
      <c r="I15" s="37" t="s">
        <v>142</v>
      </c>
      <c r="J15" s="37"/>
      <c r="K15" s="37"/>
      <c r="L15" s="37" t="s">
        <v>1313</v>
      </c>
      <c r="M15" s="37" t="s">
        <v>87</v>
      </c>
      <c r="N15" s="37" t="s">
        <v>1314</v>
      </c>
      <c r="O15" s="37"/>
    </row>
    <row r="16" customFormat="false" ht="12.75" hidden="false" customHeight="true" outlineLevel="0" collapsed="false">
      <c r="A16" s="37" t="n">
        <v>15</v>
      </c>
      <c r="B16" s="37" t="s">
        <v>150</v>
      </c>
      <c r="C16" s="37" t="s">
        <v>221</v>
      </c>
      <c r="D16" s="37" t="s">
        <v>1343</v>
      </c>
      <c r="E16" s="38" t="s">
        <v>1344</v>
      </c>
      <c r="F16" s="37" t="s">
        <v>82</v>
      </c>
      <c r="G16" s="37" t="s">
        <v>274</v>
      </c>
      <c r="H16" s="37"/>
      <c r="I16" s="37" t="s">
        <v>150</v>
      </c>
      <c r="J16" s="37"/>
      <c r="K16" s="37"/>
      <c r="L16" s="37" t="s">
        <v>1313</v>
      </c>
      <c r="M16" s="37" t="s">
        <v>87</v>
      </c>
      <c r="N16" s="37" t="s">
        <v>1314</v>
      </c>
      <c r="O16" s="37"/>
    </row>
    <row r="17" customFormat="false" ht="12.75" hidden="false" customHeight="true" outlineLevel="0" collapsed="false">
      <c r="A17" s="37" t="n">
        <v>16</v>
      </c>
      <c r="B17" s="37" t="s">
        <v>153</v>
      </c>
      <c r="C17" s="37" t="s">
        <v>221</v>
      </c>
      <c r="D17" s="37" t="s">
        <v>1345</v>
      </c>
      <c r="E17" s="38" t="s">
        <v>1346</v>
      </c>
      <c r="F17" s="37" t="s">
        <v>82</v>
      </c>
      <c r="G17" s="37" t="s">
        <v>274</v>
      </c>
      <c r="H17" s="37"/>
      <c r="I17" s="37" t="s">
        <v>153</v>
      </c>
      <c r="J17" s="37"/>
      <c r="K17" s="37"/>
      <c r="L17" s="37" t="s">
        <v>1313</v>
      </c>
      <c r="M17" s="37" t="s">
        <v>87</v>
      </c>
      <c r="N17" s="37" t="s">
        <v>1314</v>
      </c>
      <c r="O17" s="37"/>
    </row>
    <row r="18" customFormat="false" ht="12.75" hidden="false" customHeight="true" outlineLevel="0" collapsed="false">
      <c r="A18" s="37" t="n">
        <v>17</v>
      </c>
      <c r="B18" s="37" t="s">
        <v>156</v>
      </c>
      <c r="C18" s="37" t="s">
        <v>221</v>
      </c>
      <c r="D18" s="37" t="s">
        <v>1347</v>
      </c>
      <c r="E18" s="38" t="s">
        <v>1348</v>
      </c>
      <c r="F18" s="37" t="s">
        <v>82</v>
      </c>
      <c r="G18" s="37" t="s">
        <v>274</v>
      </c>
      <c r="H18" s="37"/>
      <c r="I18" s="37" t="s">
        <v>156</v>
      </c>
      <c r="J18" s="37"/>
      <c r="K18" s="37"/>
      <c r="L18" s="37" t="s">
        <v>1313</v>
      </c>
      <c r="M18" s="37" t="s">
        <v>87</v>
      </c>
      <c r="N18" s="37" t="s">
        <v>1314</v>
      </c>
      <c r="O18" s="37"/>
    </row>
    <row r="19" customFormat="false" ht="12.75" hidden="false" customHeight="true" outlineLevel="0" collapsed="false">
      <c r="A19" s="37" t="n">
        <v>18</v>
      </c>
      <c r="B19" s="37" t="s">
        <v>307</v>
      </c>
      <c r="C19" s="37" t="s">
        <v>308</v>
      </c>
      <c r="D19" s="37" t="s">
        <v>1349</v>
      </c>
      <c r="E19" s="38" t="s">
        <v>1350</v>
      </c>
      <c r="F19" s="37" t="s">
        <v>82</v>
      </c>
      <c r="G19" s="37" t="s">
        <v>243</v>
      </c>
      <c r="H19" s="37" t="n">
        <v>3</v>
      </c>
      <c r="I19" s="37"/>
      <c r="J19" s="37" t="s">
        <v>142</v>
      </c>
      <c r="K19" s="37" t="s">
        <v>1321</v>
      </c>
      <c r="L19" s="37" t="s">
        <v>1313</v>
      </c>
      <c r="M19" s="37" t="s">
        <v>314</v>
      </c>
      <c r="N19" s="37" t="s">
        <v>316</v>
      </c>
      <c r="O19" s="37" t="s">
        <v>1351</v>
      </c>
    </row>
    <row r="20" customFormat="false" ht="12.75" hidden="false" customHeight="true" outlineLevel="0" collapsed="false">
      <c r="A20" s="37" t="n">
        <v>19</v>
      </c>
      <c r="B20" s="37" t="s">
        <v>317</v>
      </c>
      <c r="C20" s="37" t="s">
        <v>308</v>
      </c>
      <c r="D20" s="37" t="s">
        <v>1352</v>
      </c>
      <c r="E20" s="38" t="s">
        <v>1353</v>
      </c>
      <c r="F20" s="37" t="s">
        <v>82</v>
      </c>
      <c r="G20" s="37" t="s">
        <v>243</v>
      </c>
      <c r="H20" s="37" t="n">
        <v>2</v>
      </c>
      <c r="I20" s="37"/>
      <c r="J20" s="37" t="s">
        <v>142</v>
      </c>
      <c r="K20" s="37" t="s">
        <v>1326</v>
      </c>
      <c r="L20" s="37" t="s">
        <v>1313</v>
      </c>
      <c r="M20" s="37" t="s">
        <v>314</v>
      </c>
      <c r="N20" s="37" t="s">
        <v>322</v>
      </c>
      <c r="O20" s="37" t="s">
        <v>307</v>
      </c>
    </row>
    <row r="21" customFormat="false" ht="12.75" hidden="false" customHeight="true" outlineLevel="0" collapsed="false">
      <c r="A21" s="37" t="n">
        <v>20</v>
      </c>
      <c r="B21" s="37" t="s">
        <v>323</v>
      </c>
      <c r="C21" s="37" t="s">
        <v>308</v>
      </c>
      <c r="D21" s="37" t="s">
        <v>1354</v>
      </c>
      <c r="E21" s="38" t="s">
        <v>1355</v>
      </c>
      <c r="F21" s="37" t="s">
        <v>82</v>
      </c>
      <c r="G21" s="37" t="s">
        <v>243</v>
      </c>
      <c r="H21" s="37" t="n">
        <v>2</v>
      </c>
      <c r="I21" s="37"/>
      <c r="J21" s="37" t="s">
        <v>142</v>
      </c>
      <c r="K21" s="37" t="s">
        <v>1326</v>
      </c>
      <c r="L21" s="37" t="s">
        <v>1313</v>
      </c>
      <c r="M21" s="37" t="s">
        <v>314</v>
      </c>
      <c r="N21" s="37" t="s">
        <v>329</v>
      </c>
      <c r="O21" s="37" t="s">
        <v>317</v>
      </c>
    </row>
    <row r="22" customFormat="false" ht="12.75" hidden="false" customHeight="true" outlineLevel="0" collapsed="false">
      <c r="A22" s="37" t="n">
        <v>21</v>
      </c>
      <c r="B22" s="37" t="s">
        <v>330</v>
      </c>
      <c r="C22" s="37" t="s">
        <v>308</v>
      </c>
      <c r="D22" s="37" t="s">
        <v>1356</v>
      </c>
      <c r="E22" s="38" t="s">
        <v>1357</v>
      </c>
      <c r="F22" s="37" t="s">
        <v>82</v>
      </c>
      <c r="G22" s="37" t="s">
        <v>243</v>
      </c>
      <c r="H22" s="37" t="n">
        <v>3</v>
      </c>
      <c r="I22" s="37"/>
      <c r="J22" s="37" t="s">
        <v>142</v>
      </c>
      <c r="K22" s="37" t="s">
        <v>1326</v>
      </c>
      <c r="L22" s="37" t="s">
        <v>1313</v>
      </c>
      <c r="M22" s="37" t="s">
        <v>314</v>
      </c>
      <c r="N22" s="37" t="s">
        <v>329</v>
      </c>
      <c r="O22" s="37" t="s">
        <v>323</v>
      </c>
    </row>
    <row r="23" customFormat="false" ht="12.75" hidden="false" customHeight="true" outlineLevel="0" collapsed="false">
      <c r="A23" s="37" t="n">
        <v>22</v>
      </c>
      <c r="B23" s="37" t="s">
        <v>335</v>
      </c>
      <c r="C23" s="37" t="s">
        <v>308</v>
      </c>
      <c r="D23" s="37" t="s">
        <v>1358</v>
      </c>
      <c r="E23" s="38" t="s">
        <v>1359</v>
      </c>
      <c r="F23" s="37" t="s">
        <v>82</v>
      </c>
      <c r="G23" s="37" t="s">
        <v>274</v>
      </c>
      <c r="H23" s="37" t="n">
        <v>2</v>
      </c>
      <c r="I23" s="37"/>
      <c r="J23" s="37" t="s">
        <v>142</v>
      </c>
      <c r="K23" s="37" t="s">
        <v>1326</v>
      </c>
      <c r="L23" s="37" t="s">
        <v>1313</v>
      </c>
      <c r="M23" s="37" t="s">
        <v>314</v>
      </c>
      <c r="N23" s="37" t="s">
        <v>329</v>
      </c>
      <c r="O23" s="37" t="s">
        <v>330</v>
      </c>
    </row>
    <row r="24" customFormat="false" ht="12.75" hidden="false" customHeight="true" outlineLevel="0" collapsed="false">
      <c r="A24" s="37" t="n">
        <v>23</v>
      </c>
      <c r="B24" s="37" t="s">
        <v>340</v>
      </c>
      <c r="C24" s="37" t="s">
        <v>308</v>
      </c>
      <c r="D24" s="37" t="s">
        <v>1360</v>
      </c>
      <c r="E24" s="38" t="s">
        <v>1361</v>
      </c>
      <c r="F24" s="37" t="s">
        <v>82</v>
      </c>
      <c r="G24" s="37" t="s">
        <v>243</v>
      </c>
      <c r="H24" s="37" t="n">
        <v>3</v>
      </c>
      <c r="I24" s="37"/>
      <c r="J24" s="37" t="s">
        <v>142</v>
      </c>
      <c r="K24" s="37" t="s">
        <v>1326</v>
      </c>
      <c r="L24" s="37" t="s">
        <v>1313</v>
      </c>
      <c r="M24" s="37" t="s">
        <v>314</v>
      </c>
      <c r="N24" s="37" t="s">
        <v>329</v>
      </c>
      <c r="O24" s="37" t="s">
        <v>330</v>
      </c>
    </row>
    <row r="25" customFormat="false" ht="12.75" hidden="false" customHeight="true" outlineLevel="0" collapsed="false">
      <c r="A25" s="37" t="n">
        <v>24</v>
      </c>
      <c r="B25" s="37" t="s">
        <v>346</v>
      </c>
      <c r="C25" s="37" t="s">
        <v>308</v>
      </c>
      <c r="D25" s="37" t="s">
        <v>1362</v>
      </c>
      <c r="E25" s="38" t="s">
        <v>1363</v>
      </c>
      <c r="F25" s="37" t="s">
        <v>82</v>
      </c>
      <c r="G25" s="37" t="s">
        <v>274</v>
      </c>
      <c r="H25" s="37" t="n">
        <v>3</v>
      </c>
      <c r="I25" s="37"/>
      <c r="J25" s="37" t="s">
        <v>150</v>
      </c>
      <c r="K25" s="37" t="s">
        <v>1364</v>
      </c>
      <c r="L25" s="37" t="s">
        <v>1313</v>
      </c>
      <c r="M25" s="37" t="s">
        <v>353</v>
      </c>
      <c r="N25" s="37" t="s">
        <v>354</v>
      </c>
      <c r="O25" s="37" t="s">
        <v>269</v>
      </c>
    </row>
    <row r="26" customFormat="false" ht="12.75" hidden="false" customHeight="true" outlineLevel="0" collapsed="false">
      <c r="A26" s="37" t="n">
        <v>25</v>
      </c>
      <c r="B26" s="37" t="s">
        <v>355</v>
      </c>
      <c r="C26" s="37" t="s">
        <v>308</v>
      </c>
      <c r="D26" s="37" t="s">
        <v>1365</v>
      </c>
      <c r="E26" s="38" t="s">
        <v>1366</v>
      </c>
      <c r="F26" s="37" t="s">
        <v>82</v>
      </c>
      <c r="G26" s="37" t="s">
        <v>274</v>
      </c>
      <c r="H26" s="37" t="n">
        <v>5</v>
      </c>
      <c r="I26" s="37"/>
      <c r="J26" s="37" t="s">
        <v>150</v>
      </c>
      <c r="K26" s="37" t="s">
        <v>1364</v>
      </c>
      <c r="L26" s="37" t="s">
        <v>1313</v>
      </c>
      <c r="M26" s="37" t="s">
        <v>353</v>
      </c>
      <c r="N26" s="37" t="s">
        <v>361</v>
      </c>
      <c r="O26" s="37" t="s">
        <v>346</v>
      </c>
    </row>
    <row r="27" customFormat="false" ht="12.75" hidden="false" customHeight="true" outlineLevel="0" collapsed="false">
      <c r="A27" s="37" t="n">
        <v>26</v>
      </c>
      <c r="B27" s="37" t="s">
        <v>362</v>
      </c>
      <c r="C27" s="37" t="s">
        <v>308</v>
      </c>
      <c r="D27" s="37" t="s">
        <v>1367</v>
      </c>
      <c r="E27" s="38" t="s">
        <v>1368</v>
      </c>
      <c r="F27" s="37" t="s">
        <v>82</v>
      </c>
      <c r="G27" s="37" t="s">
        <v>367</v>
      </c>
      <c r="H27" s="37" t="n">
        <v>2</v>
      </c>
      <c r="I27" s="37"/>
      <c r="J27" s="37" t="s">
        <v>150</v>
      </c>
      <c r="K27" s="37" t="s">
        <v>1364</v>
      </c>
      <c r="L27" s="37" t="s">
        <v>1313</v>
      </c>
      <c r="M27" s="37" t="s">
        <v>353</v>
      </c>
      <c r="N27" s="37" t="s">
        <v>368</v>
      </c>
      <c r="O27" s="37" t="s">
        <v>355</v>
      </c>
    </row>
    <row r="28" customFormat="false" ht="12.75" hidden="false" customHeight="true" outlineLevel="0" collapsed="false">
      <c r="A28" s="37" t="n">
        <v>27</v>
      </c>
      <c r="B28" s="37" t="s">
        <v>369</v>
      </c>
      <c r="C28" s="37" t="s">
        <v>308</v>
      </c>
      <c r="D28" s="37" t="s">
        <v>1369</v>
      </c>
      <c r="E28" s="38" t="s">
        <v>1370</v>
      </c>
      <c r="F28" s="37" t="s">
        <v>82</v>
      </c>
      <c r="G28" s="37" t="s">
        <v>274</v>
      </c>
      <c r="H28" s="37" t="n">
        <v>3</v>
      </c>
      <c r="I28" s="37"/>
      <c r="J28" s="37" t="s">
        <v>150</v>
      </c>
      <c r="K28" s="37" t="s">
        <v>1364</v>
      </c>
      <c r="L28" s="37" t="s">
        <v>1313</v>
      </c>
      <c r="M28" s="37" t="s">
        <v>353</v>
      </c>
      <c r="N28" s="37" t="s">
        <v>361</v>
      </c>
      <c r="O28" s="37" t="s">
        <v>1371</v>
      </c>
    </row>
    <row r="29" customFormat="false" ht="12.75" hidden="false" customHeight="true" outlineLevel="0" collapsed="false">
      <c r="A29" s="37" t="n">
        <v>28</v>
      </c>
      <c r="B29" s="37" t="s">
        <v>376</v>
      </c>
      <c r="C29" s="37" t="s">
        <v>308</v>
      </c>
      <c r="D29" s="37" t="s">
        <v>1372</v>
      </c>
      <c r="E29" s="38" t="s">
        <v>1373</v>
      </c>
      <c r="F29" s="37" t="s">
        <v>82</v>
      </c>
      <c r="G29" s="37" t="s">
        <v>274</v>
      </c>
      <c r="H29" s="37" t="n">
        <v>2</v>
      </c>
      <c r="I29" s="37"/>
      <c r="J29" s="37" t="s">
        <v>153</v>
      </c>
      <c r="K29" s="37" t="s">
        <v>1374</v>
      </c>
      <c r="L29" s="37" t="s">
        <v>1313</v>
      </c>
      <c r="M29" s="37" t="s">
        <v>314</v>
      </c>
      <c r="N29" s="37" t="s">
        <v>384</v>
      </c>
      <c r="O29" s="37" t="s">
        <v>383</v>
      </c>
    </row>
    <row r="30" customFormat="false" ht="12.75" hidden="false" customHeight="true" outlineLevel="0" collapsed="false">
      <c r="A30" s="37" t="n">
        <v>29</v>
      </c>
      <c r="B30" s="37" t="s">
        <v>385</v>
      </c>
      <c r="C30" s="37" t="s">
        <v>308</v>
      </c>
      <c r="D30" s="37" t="s">
        <v>1375</v>
      </c>
      <c r="E30" s="38" t="s">
        <v>1376</v>
      </c>
      <c r="F30" s="37" t="s">
        <v>82</v>
      </c>
      <c r="G30" s="37" t="s">
        <v>367</v>
      </c>
      <c r="H30" s="37" t="n">
        <v>1</v>
      </c>
      <c r="I30" s="37"/>
      <c r="J30" s="37" t="s">
        <v>153</v>
      </c>
      <c r="K30" s="37" t="s">
        <v>1374</v>
      </c>
      <c r="L30" s="37" t="s">
        <v>1313</v>
      </c>
      <c r="M30" s="37" t="s">
        <v>314</v>
      </c>
      <c r="N30" s="37" t="s">
        <v>384</v>
      </c>
      <c r="O30" s="37" t="s">
        <v>383</v>
      </c>
    </row>
    <row r="31" customFormat="false" ht="12.75" hidden="false" customHeight="true" outlineLevel="0" collapsed="false">
      <c r="A31" s="37" t="n">
        <v>30</v>
      </c>
      <c r="B31" s="37" t="s">
        <v>383</v>
      </c>
      <c r="C31" s="37" t="s">
        <v>308</v>
      </c>
      <c r="D31" s="37" t="s">
        <v>1377</v>
      </c>
      <c r="E31" s="38" t="s">
        <v>1378</v>
      </c>
      <c r="F31" s="37" t="s">
        <v>82</v>
      </c>
      <c r="G31" s="37" t="s">
        <v>243</v>
      </c>
      <c r="H31" s="37" t="n">
        <v>3</v>
      </c>
      <c r="I31" s="37"/>
      <c r="J31" s="37" t="s">
        <v>153</v>
      </c>
      <c r="K31" s="37" t="s">
        <v>1374</v>
      </c>
      <c r="L31" s="37" t="s">
        <v>1313</v>
      </c>
      <c r="M31" s="37" t="s">
        <v>314</v>
      </c>
      <c r="N31" s="37" t="s">
        <v>394</v>
      </c>
      <c r="O31" s="37" t="s">
        <v>248</v>
      </c>
    </row>
    <row r="32" customFormat="false" ht="12.75" hidden="false" customHeight="true" outlineLevel="0" collapsed="false">
      <c r="A32" s="37" t="n">
        <v>31</v>
      </c>
      <c r="B32" s="37" t="s">
        <v>395</v>
      </c>
      <c r="C32" s="37" t="s">
        <v>308</v>
      </c>
      <c r="D32" s="37" t="s">
        <v>1379</v>
      </c>
      <c r="E32" s="38" t="s">
        <v>1380</v>
      </c>
      <c r="F32" s="37" t="s">
        <v>82</v>
      </c>
      <c r="G32" s="37" t="s">
        <v>367</v>
      </c>
      <c r="H32" s="37" t="n">
        <v>1</v>
      </c>
      <c r="I32" s="37"/>
      <c r="J32" s="37" t="s">
        <v>153</v>
      </c>
      <c r="K32" s="37" t="s">
        <v>1374</v>
      </c>
      <c r="L32" s="37" t="s">
        <v>1313</v>
      </c>
      <c r="M32" s="37" t="s">
        <v>314</v>
      </c>
      <c r="N32" s="37" t="s">
        <v>400</v>
      </c>
      <c r="O32" s="37" t="s">
        <v>383</v>
      </c>
    </row>
    <row r="33" customFormat="false" ht="12.75" hidden="false" customHeight="true" outlineLevel="0" collapsed="false">
      <c r="A33" s="37" t="n">
        <v>32</v>
      </c>
      <c r="B33" s="37" t="s">
        <v>401</v>
      </c>
      <c r="C33" s="37" t="s">
        <v>308</v>
      </c>
      <c r="D33" s="37" t="s">
        <v>1381</v>
      </c>
      <c r="E33" s="38" t="s">
        <v>1382</v>
      </c>
      <c r="F33" s="37" t="s">
        <v>82</v>
      </c>
      <c r="G33" s="37" t="s">
        <v>274</v>
      </c>
      <c r="H33" s="37" t="n">
        <v>2</v>
      </c>
      <c r="I33" s="37"/>
      <c r="J33" s="37" t="s">
        <v>153</v>
      </c>
      <c r="K33" s="37" t="s">
        <v>1374</v>
      </c>
      <c r="L33" s="37" t="s">
        <v>1313</v>
      </c>
      <c r="M33" s="37" t="s">
        <v>314</v>
      </c>
      <c r="N33" s="37" t="s">
        <v>322</v>
      </c>
      <c r="O33" s="37" t="s">
        <v>248</v>
      </c>
    </row>
    <row r="34" customFormat="false" ht="12.75" hidden="false" customHeight="true" outlineLevel="0" collapsed="false">
      <c r="A34" s="37" t="n">
        <v>33</v>
      </c>
      <c r="B34" s="37" t="s">
        <v>407</v>
      </c>
      <c r="C34" s="37" t="s">
        <v>308</v>
      </c>
      <c r="D34" s="37" t="s">
        <v>1383</v>
      </c>
      <c r="E34" s="38" t="s">
        <v>1384</v>
      </c>
      <c r="F34" s="37" t="s">
        <v>82</v>
      </c>
      <c r="G34" s="37" t="s">
        <v>367</v>
      </c>
      <c r="H34" s="37" t="n">
        <v>2</v>
      </c>
      <c r="I34" s="37"/>
      <c r="J34" s="37" t="s">
        <v>153</v>
      </c>
      <c r="K34" s="37" t="s">
        <v>1374</v>
      </c>
      <c r="L34" s="37" t="s">
        <v>1313</v>
      </c>
      <c r="M34" s="37" t="s">
        <v>314</v>
      </c>
      <c r="N34" s="37" t="s">
        <v>316</v>
      </c>
      <c r="O34" s="37" t="s">
        <v>307</v>
      </c>
    </row>
    <row r="35" customFormat="false" ht="12.75" hidden="false" customHeight="true" outlineLevel="0" collapsed="false">
      <c r="A35" s="37" t="n">
        <v>34</v>
      </c>
      <c r="B35" s="37" t="s">
        <v>411</v>
      </c>
      <c r="C35" s="37" t="s">
        <v>308</v>
      </c>
      <c r="D35" s="37" t="s">
        <v>1385</v>
      </c>
      <c r="E35" s="38" t="s">
        <v>1386</v>
      </c>
      <c r="F35" s="37" t="s">
        <v>82</v>
      </c>
      <c r="G35" s="37" t="s">
        <v>367</v>
      </c>
      <c r="H35" s="37" t="n">
        <v>3</v>
      </c>
      <c r="I35" s="37"/>
      <c r="J35" s="37" t="s">
        <v>156</v>
      </c>
      <c r="K35" s="37" t="s">
        <v>1326</v>
      </c>
      <c r="L35" s="37" t="s">
        <v>1313</v>
      </c>
      <c r="M35" s="37" t="s">
        <v>314</v>
      </c>
      <c r="N35" s="37" t="s">
        <v>415</v>
      </c>
      <c r="O35" s="37" t="s">
        <v>248</v>
      </c>
    </row>
    <row r="36" customFormat="false" ht="12.75" hidden="false" customHeight="true" outlineLevel="0" collapsed="false">
      <c r="A36" s="37" t="n">
        <v>35</v>
      </c>
      <c r="B36" s="37" t="s">
        <v>416</v>
      </c>
      <c r="C36" s="37" t="s">
        <v>234</v>
      </c>
      <c r="D36" s="37" t="s">
        <v>1387</v>
      </c>
      <c r="E36" s="38" t="s">
        <v>1388</v>
      </c>
      <c r="F36" s="37" t="s">
        <v>82</v>
      </c>
      <c r="G36" s="37" t="s">
        <v>274</v>
      </c>
      <c r="H36" s="37" t="n">
        <v>2</v>
      </c>
      <c r="I36" s="37"/>
      <c r="J36" s="37" t="s">
        <v>156</v>
      </c>
      <c r="K36" s="37" t="s">
        <v>1364</v>
      </c>
      <c r="L36" s="37" t="s">
        <v>1313</v>
      </c>
      <c r="M36" s="37" t="s">
        <v>314</v>
      </c>
      <c r="N36" s="37" t="s">
        <v>421</v>
      </c>
      <c r="O36" s="37" t="s">
        <v>1389</v>
      </c>
    </row>
    <row r="37" customFormat="false" ht="12.75" hidden="false" customHeight="true" outlineLevel="0" collapsed="false">
      <c r="A37" s="37" t="n">
        <v>36</v>
      </c>
      <c r="B37" s="37" t="s">
        <v>159</v>
      </c>
      <c r="C37" s="37" t="s">
        <v>221</v>
      </c>
      <c r="D37" s="37" t="s">
        <v>1390</v>
      </c>
      <c r="E37" s="38" t="s">
        <v>1391</v>
      </c>
      <c r="F37" s="37" t="s">
        <v>424</v>
      </c>
      <c r="G37" s="37" t="s">
        <v>274</v>
      </c>
      <c r="H37" s="37"/>
      <c r="I37" s="37" t="s">
        <v>159</v>
      </c>
      <c r="J37" s="37"/>
      <c r="K37" s="37"/>
      <c r="L37" s="37" t="s">
        <v>1313</v>
      </c>
      <c r="M37" s="37" t="s">
        <v>94</v>
      </c>
      <c r="N37" s="37" t="s">
        <v>1314</v>
      </c>
      <c r="O37" s="37"/>
    </row>
    <row r="38" customFormat="false" ht="12.75" hidden="false" customHeight="true" outlineLevel="0" collapsed="false">
      <c r="A38" s="37" t="n">
        <v>37</v>
      </c>
      <c r="B38" s="37" t="s">
        <v>167</v>
      </c>
      <c r="C38" s="37" t="s">
        <v>221</v>
      </c>
      <c r="D38" s="37" t="s">
        <v>1392</v>
      </c>
      <c r="E38" s="38" t="s">
        <v>1393</v>
      </c>
      <c r="F38" s="37" t="s">
        <v>424</v>
      </c>
      <c r="G38" s="37" t="s">
        <v>274</v>
      </c>
      <c r="H38" s="37"/>
      <c r="I38" s="37" t="s">
        <v>167</v>
      </c>
      <c r="J38" s="37"/>
      <c r="K38" s="37"/>
      <c r="L38" s="37" t="s">
        <v>1313</v>
      </c>
      <c r="M38" s="37" t="s">
        <v>94</v>
      </c>
      <c r="N38" s="37" t="s">
        <v>1314</v>
      </c>
      <c r="O38" s="37"/>
    </row>
    <row r="39" customFormat="false" ht="12.75" hidden="false" customHeight="true" outlineLevel="0" collapsed="false">
      <c r="A39" s="37" t="n">
        <v>38</v>
      </c>
      <c r="B39" s="37" t="s">
        <v>170</v>
      </c>
      <c r="C39" s="37" t="s">
        <v>221</v>
      </c>
      <c r="D39" s="37" t="s">
        <v>1394</v>
      </c>
      <c r="E39" s="38" t="s">
        <v>1395</v>
      </c>
      <c r="F39" s="37" t="s">
        <v>424</v>
      </c>
      <c r="G39" s="37" t="s">
        <v>274</v>
      </c>
      <c r="H39" s="37"/>
      <c r="I39" s="37" t="s">
        <v>170</v>
      </c>
      <c r="J39" s="37"/>
      <c r="K39" s="37"/>
      <c r="L39" s="37" t="s">
        <v>1313</v>
      </c>
      <c r="M39" s="37" t="s">
        <v>94</v>
      </c>
      <c r="N39" s="37" t="s">
        <v>1314</v>
      </c>
      <c r="O39" s="37"/>
    </row>
    <row r="40" customFormat="false" ht="12.75" hidden="false" customHeight="true" outlineLevel="0" collapsed="false">
      <c r="A40" s="37" t="n">
        <v>39</v>
      </c>
      <c r="B40" s="37" t="s">
        <v>422</v>
      </c>
      <c r="C40" s="37" t="s">
        <v>234</v>
      </c>
      <c r="D40" s="37" t="s">
        <v>1396</v>
      </c>
      <c r="E40" s="38" t="s">
        <v>1397</v>
      </c>
      <c r="F40" s="37" t="s">
        <v>424</v>
      </c>
      <c r="G40" s="37" t="s">
        <v>243</v>
      </c>
      <c r="H40" s="37" t="n">
        <v>3</v>
      </c>
      <c r="I40" s="37"/>
      <c r="J40" s="37" t="s">
        <v>159</v>
      </c>
      <c r="K40" s="37" t="s">
        <v>1374</v>
      </c>
      <c r="L40" s="37" t="s">
        <v>1313</v>
      </c>
      <c r="M40" s="37" t="s">
        <v>314</v>
      </c>
      <c r="N40" s="37" t="s">
        <v>429</v>
      </c>
      <c r="O40" s="37" t="s">
        <v>340</v>
      </c>
    </row>
    <row r="41" customFormat="false" ht="12.75" hidden="false" customHeight="true" outlineLevel="0" collapsed="false">
      <c r="A41" s="37" t="n">
        <v>40</v>
      </c>
      <c r="B41" s="37" t="s">
        <v>430</v>
      </c>
      <c r="C41" s="37" t="s">
        <v>234</v>
      </c>
      <c r="D41" s="37" t="s">
        <v>1398</v>
      </c>
      <c r="E41" s="38" t="s">
        <v>1399</v>
      </c>
      <c r="F41" s="37" t="s">
        <v>90</v>
      </c>
      <c r="G41" s="37" t="s">
        <v>243</v>
      </c>
      <c r="H41" s="37" t="n">
        <v>2</v>
      </c>
      <c r="I41" s="37"/>
      <c r="J41" s="37" t="s">
        <v>159</v>
      </c>
      <c r="K41" s="37" t="s">
        <v>1374</v>
      </c>
      <c r="L41" s="37" t="s">
        <v>1313</v>
      </c>
      <c r="M41" s="37" t="s">
        <v>314</v>
      </c>
      <c r="N41" s="37" t="s">
        <v>434</v>
      </c>
      <c r="O41" s="37" t="s">
        <v>422</v>
      </c>
    </row>
    <row r="42" customFormat="false" ht="12.75" hidden="false" customHeight="true" outlineLevel="0" collapsed="false">
      <c r="A42" s="37" t="n">
        <v>41</v>
      </c>
      <c r="B42" s="37" t="s">
        <v>435</v>
      </c>
      <c r="C42" s="37" t="s">
        <v>308</v>
      </c>
      <c r="D42" s="37" t="s">
        <v>1400</v>
      </c>
      <c r="E42" s="38" t="s">
        <v>1401</v>
      </c>
      <c r="F42" s="37" t="s">
        <v>90</v>
      </c>
      <c r="G42" s="37" t="s">
        <v>274</v>
      </c>
      <c r="H42" s="37" t="n">
        <v>1</v>
      </c>
      <c r="I42" s="37"/>
      <c r="J42" s="37" t="s">
        <v>159</v>
      </c>
      <c r="K42" s="37" t="s">
        <v>1374</v>
      </c>
      <c r="L42" s="37" t="s">
        <v>1313</v>
      </c>
      <c r="M42" s="37" t="s">
        <v>314</v>
      </c>
      <c r="N42" s="37" t="s">
        <v>440</v>
      </c>
      <c r="O42" s="37" t="s">
        <v>422</v>
      </c>
    </row>
    <row r="43" customFormat="false" ht="12.75" hidden="false" customHeight="true" outlineLevel="0" collapsed="false">
      <c r="A43" s="37" t="n">
        <v>42</v>
      </c>
      <c r="B43" s="37" t="s">
        <v>441</v>
      </c>
      <c r="C43" s="37" t="s">
        <v>308</v>
      </c>
      <c r="D43" s="37" t="s">
        <v>1402</v>
      </c>
      <c r="E43" s="38" t="s">
        <v>1403</v>
      </c>
      <c r="F43" s="37" t="s">
        <v>90</v>
      </c>
      <c r="G43" s="37" t="s">
        <v>274</v>
      </c>
      <c r="H43" s="37" t="n">
        <v>3</v>
      </c>
      <c r="I43" s="37"/>
      <c r="J43" s="37" t="s">
        <v>167</v>
      </c>
      <c r="K43" s="37" t="s">
        <v>1404</v>
      </c>
      <c r="L43" s="37" t="s">
        <v>1313</v>
      </c>
      <c r="M43" s="37" t="s">
        <v>448</v>
      </c>
      <c r="N43" s="37" t="s">
        <v>449</v>
      </c>
      <c r="O43" s="37" t="s">
        <v>430</v>
      </c>
    </row>
    <row r="44" customFormat="false" ht="12.75" hidden="false" customHeight="true" outlineLevel="0" collapsed="false">
      <c r="A44" s="37" t="n">
        <v>43</v>
      </c>
      <c r="B44" s="37" t="s">
        <v>450</v>
      </c>
      <c r="C44" s="37" t="s">
        <v>308</v>
      </c>
      <c r="D44" s="37" t="s">
        <v>1405</v>
      </c>
      <c r="E44" s="38" t="s">
        <v>1406</v>
      </c>
      <c r="F44" s="37" t="s">
        <v>90</v>
      </c>
      <c r="G44" s="37" t="s">
        <v>274</v>
      </c>
      <c r="H44" s="37" t="n">
        <v>1</v>
      </c>
      <c r="I44" s="37"/>
      <c r="J44" s="37" t="s">
        <v>167</v>
      </c>
      <c r="K44" s="37" t="s">
        <v>1404</v>
      </c>
      <c r="L44" s="37" t="s">
        <v>1313</v>
      </c>
      <c r="M44" s="37" t="s">
        <v>448</v>
      </c>
      <c r="N44" s="37" t="s">
        <v>454</v>
      </c>
      <c r="O44" s="37" t="s">
        <v>441</v>
      </c>
    </row>
    <row r="45" customFormat="false" ht="12.75" hidden="false" customHeight="true" outlineLevel="0" collapsed="false">
      <c r="A45" s="37" t="n">
        <v>44</v>
      </c>
      <c r="B45" s="37" t="s">
        <v>455</v>
      </c>
      <c r="C45" s="37" t="s">
        <v>308</v>
      </c>
      <c r="D45" s="37" t="s">
        <v>1407</v>
      </c>
      <c r="E45" s="38" t="s">
        <v>1408</v>
      </c>
      <c r="F45" s="37" t="s">
        <v>90</v>
      </c>
      <c r="G45" s="37" t="s">
        <v>274</v>
      </c>
      <c r="H45" s="37" t="n">
        <v>3</v>
      </c>
      <c r="I45" s="37"/>
      <c r="J45" s="37" t="s">
        <v>167</v>
      </c>
      <c r="K45" s="37" t="s">
        <v>1404</v>
      </c>
      <c r="L45" s="37" t="s">
        <v>1313</v>
      </c>
      <c r="M45" s="37" t="s">
        <v>448</v>
      </c>
      <c r="N45" s="37" t="s">
        <v>460</v>
      </c>
      <c r="O45" s="37" t="s">
        <v>1409</v>
      </c>
    </row>
    <row r="46" customFormat="false" ht="12.75" hidden="false" customHeight="true" outlineLevel="0" collapsed="false">
      <c r="A46" s="37" t="n">
        <v>45</v>
      </c>
      <c r="B46" s="37" t="s">
        <v>461</v>
      </c>
      <c r="C46" s="37" t="s">
        <v>308</v>
      </c>
      <c r="D46" s="37" t="s">
        <v>1410</v>
      </c>
      <c r="E46" s="38" t="s">
        <v>1411</v>
      </c>
      <c r="F46" s="37" t="s">
        <v>90</v>
      </c>
      <c r="G46" s="37" t="s">
        <v>274</v>
      </c>
      <c r="H46" s="37" t="n">
        <v>2</v>
      </c>
      <c r="I46" s="37"/>
      <c r="J46" s="37" t="s">
        <v>167</v>
      </c>
      <c r="K46" s="37" t="s">
        <v>1404</v>
      </c>
      <c r="L46" s="37" t="s">
        <v>1313</v>
      </c>
      <c r="M46" s="37" t="s">
        <v>448</v>
      </c>
      <c r="N46" s="37" t="s">
        <v>460</v>
      </c>
      <c r="O46" s="37" t="s">
        <v>1412</v>
      </c>
    </row>
    <row r="47" customFormat="false" ht="12.75" hidden="false" customHeight="true" outlineLevel="0" collapsed="false">
      <c r="A47" s="37" t="n">
        <v>46</v>
      </c>
      <c r="B47" s="37" t="s">
        <v>468</v>
      </c>
      <c r="C47" s="37" t="s">
        <v>308</v>
      </c>
      <c r="D47" s="37" t="s">
        <v>1413</v>
      </c>
      <c r="E47" s="38" t="s">
        <v>1414</v>
      </c>
      <c r="F47" s="37" t="s">
        <v>90</v>
      </c>
      <c r="G47" s="37" t="s">
        <v>367</v>
      </c>
      <c r="H47" s="37" t="n">
        <v>2</v>
      </c>
      <c r="I47" s="37"/>
      <c r="J47" s="37" t="s">
        <v>170</v>
      </c>
      <c r="K47" s="37" t="s">
        <v>1374</v>
      </c>
      <c r="L47" s="37" t="s">
        <v>1313</v>
      </c>
      <c r="M47" s="37" t="s">
        <v>314</v>
      </c>
      <c r="N47" s="37" t="s">
        <v>473</v>
      </c>
      <c r="O47" s="37" t="s">
        <v>461</v>
      </c>
    </row>
    <row r="48" customFormat="false" ht="12.75" hidden="false" customHeight="true" outlineLevel="0" collapsed="false">
      <c r="A48" s="37" t="n">
        <v>47</v>
      </c>
      <c r="B48" s="37" t="s">
        <v>474</v>
      </c>
      <c r="C48" s="37" t="s">
        <v>308</v>
      </c>
      <c r="D48" s="37" t="s">
        <v>1415</v>
      </c>
      <c r="E48" s="38" t="s">
        <v>1416</v>
      </c>
      <c r="F48" s="37" t="s">
        <v>90</v>
      </c>
      <c r="G48" s="37" t="s">
        <v>367</v>
      </c>
      <c r="H48" s="37" t="n">
        <v>1</v>
      </c>
      <c r="I48" s="37"/>
      <c r="J48" s="37" t="s">
        <v>170</v>
      </c>
      <c r="K48" s="37" t="s">
        <v>1374</v>
      </c>
      <c r="L48" s="37" t="s">
        <v>1313</v>
      </c>
      <c r="M48" s="37" t="s">
        <v>314</v>
      </c>
      <c r="N48" s="37" t="s">
        <v>480</v>
      </c>
      <c r="O48" s="37" t="s">
        <v>422</v>
      </c>
    </row>
    <row r="49" customFormat="false" ht="12.75" hidden="false" customHeight="true" outlineLevel="0" collapsed="false">
      <c r="A49" s="37" t="n">
        <v>48</v>
      </c>
      <c r="B49" s="37" t="s">
        <v>481</v>
      </c>
      <c r="C49" s="37" t="s">
        <v>234</v>
      </c>
      <c r="D49" s="37" t="s">
        <v>1417</v>
      </c>
      <c r="E49" s="38" t="s">
        <v>1418</v>
      </c>
      <c r="F49" s="37" t="s">
        <v>90</v>
      </c>
      <c r="G49" s="37" t="s">
        <v>274</v>
      </c>
      <c r="H49" s="37" t="n">
        <v>3</v>
      </c>
      <c r="I49" s="37"/>
      <c r="J49" s="37" t="s">
        <v>170</v>
      </c>
      <c r="K49" s="37" t="s">
        <v>1404</v>
      </c>
      <c r="L49" s="37" t="s">
        <v>1313</v>
      </c>
      <c r="M49" s="37" t="s">
        <v>314</v>
      </c>
      <c r="N49" s="37" t="s">
        <v>486</v>
      </c>
      <c r="O49" s="37" t="s">
        <v>1419</v>
      </c>
    </row>
    <row r="50" customFormat="false" ht="12.75" hidden="false" customHeight="true" outlineLevel="0" collapsed="false">
      <c r="A50" s="37" t="n">
        <v>49</v>
      </c>
      <c r="B50" s="37" t="s">
        <v>173</v>
      </c>
      <c r="C50" s="37" t="s">
        <v>221</v>
      </c>
      <c r="D50" s="37" t="s">
        <v>1420</v>
      </c>
      <c r="E50" s="38" t="s">
        <v>1421</v>
      </c>
      <c r="F50" s="37" t="s">
        <v>98</v>
      </c>
      <c r="G50" s="37" t="s">
        <v>274</v>
      </c>
      <c r="H50" s="37"/>
      <c r="I50" s="37" t="s">
        <v>173</v>
      </c>
      <c r="J50" s="37"/>
      <c r="K50" s="37"/>
      <c r="L50" s="37" t="s">
        <v>1313</v>
      </c>
      <c r="M50" s="37" t="s">
        <v>103</v>
      </c>
      <c r="N50" s="37" t="s">
        <v>1314</v>
      </c>
      <c r="O50" s="37"/>
    </row>
    <row r="51" customFormat="false" ht="12.75" hidden="false" customHeight="true" outlineLevel="0" collapsed="false">
      <c r="A51" s="37" t="n">
        <v>50</v>
      </c>
      <c r="B51" s="37" t="s">
        <v>181</v>
      </c>
      <c r="C51" s="37" t="s">
        <v>221</v>
      </c>
      <c r="D51" s="37" t="s">
        <v>1422</v>
      </c>
      <c r="E51" s="38" t="s">
        <v>1423</v>
      </c>
      <c r="F51" s="37" t="s">
        <v>98</v>
      </c>
      <c r="G51" s="37" t="s">
        <v>274</v>
      </c>
      <c r="H51" s="37"/>
      <c r="I51" s="37" t="s">
        <v>181</v>
      </c>
      <c r="J51" s="37"/>
      <c r="K51" s="37"/>
      <c r="L51" s="37" t="s">
        <v>1313</v>
      </c>
      <c r="M51" s="37" t="s">
        <v>103</v>
      </c>
      <c r="N51" s="37" t="s">
        <v>1314</v>
      </c>
      <c r="O51" s="37"/>
    </row>
    <row r="52" customFormat="false" ht="12.75" hidden="false" customHeight="true" outlineLevel="0" collapsed="false">
      <c r="A52" s="37" t="n">
        <v>51</v>
      </c>
      <c r="B52" s="37" t="s">
        <v>184</v>
      </c>
      <c r="C52" s="37" t="s">
        <v>221</v>
      </c>
      <c r="D52" s="37" t="s">
        <v>1424</v>
      </c>
      <c r="E52" s="38" t="s">
        <v>1425</v>
      </c>
      <c r="F52" s="37" t="s">
        <v>98</v>
      </c>
      <c r="G52" s="37" t="s">
        <v>274</v>
      </c>
      <c r="H52" s="37"/>
      <c r="I52" s="37" t="s">
        <v>184</v>
      </c>
      <c r="J52" s="37"/>
      <c r="K52" s="37"/>
      <c r="L52" s="37" t="s">
        <v>1313</v>
      </c>
      <c r="M52" s="37" t="s">
        <v>103</v>
      </c>
      <c r="N52" s="37" t="s">
        <v>1314</v>
      </c>
      <c r="O52" s="37"/>
    </row>
    <row r="53" customFormat="false" ht="12.75" hidden="false" customHeight="true" outlineLevel="0" collapsed="false">
      <c r="A53" s="37" t="n">
        <v>52</v>
      </c>
      <c r="B53" s="37" t="s">
        <v>487</v>
      </c>
      <c r="C53" s="37" t="s">
        <v>234</v>
      </c>
      <c r="D53" s="37" t="s">
        <v>1426</v>
      </c>
      <c r="E53" s="38" t="s">
        <v>1427</v>
      </c>
      <c r="F53" s="37" t="s">
        <v>98</v>
      </c>
      <c r="G53" s="37" t="s">
        <v>243</v>
      </c>
      <c r="H53" s="37" t="n">
        <v>2</v>
      </c>
      <c r="I53" s="37"/>
      <c r="J53" s="37" t="s">
        <v>173</v>
      </c>
      <c r="K53" s="37" t="s">
        <v>1321</v>
      </c>
      <c r="L53" s="37" t="s">
        <v>1313</v>
      </c>
      <c r="M53" s="37" t="s">
        <v>314</v>
      </c>
      <c r="N53" s="37" t="s">
        <v>491</v>
      </c>
      <c r="O53" s="37" t="s">
        <v>1351</v>
      </c>
    </row>
    <row r="54" customFormat="false" ht="12.75" hidden="false" customHeight="true" outlineLevel="0" collapsed="false">
      <c r="A54" s="37" t="n">
        <v>53</v>
      </c>
      <c r="B54" s="37" t="s">
        <v>492</v>
      </c>
      <c r="C54" s="37" t="s">
        <v>308</v>
      </c>
      <c r="D54" s="37" t="s">
        <v>1428</v>
      </c>
      <c r="E54" s="38" t="s">
        <v>1429</v>
      </c>
      <c r="F54" s="37" t="s">
        <v>98</v>
      </c>
      <c r="G54" s="37" t="s">
        <v>243</v>
      </c>
      <c r="H54" s="37" t="n">
        <v>2</v>
      </c>
      <c r="I54" s="37"/>
      <c r="J54" s="37" t="s">
        <v>173</v>
      </c>
      <c r="K54" s="37" t="s">
        <v>1326</v>
      </c>
      <c r="L54" s="37" t="s">
        <v>1313</v>
      </c>
      <c r="M54" s="37" t="s">
        <v>314</v>
      </c>
      <c r="N54" s="37" t="s">
        <v>499</v>
      </c>
      <c r="O54" s="37" t="s">
        <v>487</v>
      </c>
    </row>
    <row r="55" customFormat="false" ht="12.75" hidden="false" customHeight="true" outlineLevel="0" collapsed="false">
      <c r="A55" s="37" t="n">
        <v>54</v>
      </c>
      <c r="B55" s="37" t="s">
        <v>500</v>
      </c>
      <c r="C55" s="37" t="s">
        <v>308</v>
      </c>
      <c r="D55" s="37" t="s">
        <v>1430</v>
      </c>
      <c r="E55" s="38" t="s">
        <v>1431</v>
      </c>
      <c r="F55" s="37" t="s">
        <v>98</v>
      </c>
      <c r="G55" s="37" t="s">
        <v>243</v>
      </c>
      <c r="H55" s="37" t="n">
        <v>2</v>
      </c>
      <c r="I55" s="37"/>
      <c r="J55" s="37" t="s">
        <v>173</v>
      </c>
      <c r="K55" s="37" t="s">
        <v>1326</v>
      </c>
      <c r="L55" s="37" t="s">
        <v>1313</v>
      </c>
      <c r="M55" s="37" t="s">
        <v>314</v>
      </c>
      <c r="N55" s="37" t="s">
        <v>499</v>
      </c>
      <c r="O55" s="37" t="s">
        <v>492</v>
      </c>
    </row>
    <row r="56" customFormat="false" ht="12.75" hidden="false" customHeight="true" outlineLevel="0" collapsed="false">
      <c r="A56" s="37" t="n">
        <v>55</v>
      </c>
      <c r="B56" s="37" t="s">
        <v>507</v>
      </c>
      <c r="C56" s="37" t="s">
        <v>308</v>
      </c>
      <c r="D56" s="37" t="s">
        <v>1432</v>
      </c>
      <c r="E56" s="38" t="s">
        <v>1433</v>
      </c>
      <c r="F56" s="37" t="s">
        <v>98</v>
      </c>
      <c r="G56" s="37" t="s">
        <v>274</v>
      </c>
      <c r="H56" s="37" t="n">
        <v>3</v>
      </c>
      <c r="I56" s="37"/>
      <c r="J56" s="37" t="s">
        <v>173</v>
      </c>
      <c r="K56" s="37" t="s">
        <v>1326</v>
      </c>
      <c r="L56" s="37" t="s">
        <v>1313</v>
      </c>
      <c r="M56" s="37" t="s">
        <v>314</v>
      </c>
      <c r="N56" s="37" t="s">
        <v>513</v>
      </c>
      <c r="O56" s="37" t="s">
        <v>500</v>
      </c>
    </row>
    <row r="57" customFormat="false" ht="12.75" hidden="false" customHeight="true" outlineLevel="0" collapsed="false">
      <c r="A57" s="37" t="n">
        <v>56</v>
      </c>
      <c r="B57" s="37" t="s">
        <v>514</v>
      </c>
      <c r="C57" s="37" t="s">
        <v>308</v>
      </c>
      <c r="D57" s="37" t="s">
        <v>1434</v>
      </c>
      <c r="E57" s="38" t="s">
        <v>1435</v>
      </c>
      <c r="F57" s="37" t="s">
        <v>98</v>
      </c>
      <c r="G57" s="37" t="s">
        <v>274</v>
      </c>
      <c r="H57" s="37" t="n">
        <v>3</v>
      </c>
      <c r="I57" s="37"/>
      <c r="J57" s="37" t="s">
        <v>181</v>
      </c>
      <c r="K57" s="37" t="s">
        <v>1374</v>
      </c>
      <c r="L57" s="37" t="s">
        <v>1313</v>
      </c>
      <c r="M57" s="37" t="s">
        <v>314</v>
      </c>
      <c r="N57" s="37" t="s">
        <v>521</v>
      </c>
      <c r="O57" s="37" t="s">
        <v>1436</v>
      </c>
    </row>
    <row r="58" customFormat="false" ht="12.75" hidden="false" customHeight="true" outlineLevel="0" collapsed="false">
      <c r="A58" s="37" t="n">
        <v>57</v>
      </c>
      <c r="B58" s="37" t="s">
        <v>522</v>
      </c>
      <c r="C58" s="37" t="s">
        <v>308</v>
      </c>
      <c r="D58" s="37" t="s">
        <v>1437</v>
      </c>
      <c r="E58" s="38" t="s">
        <v>1438</v>
      </c>
      <c r="F58" s="37" t="s">
        <v>98</v>
      </c>
      <c r="G58" s="37" t="s">
        <v>367</v>
      </c>
      <c r="H58" s="37" t="n">
        <v>1</v>
      </c>
      <c r="I58" s="37"/>
      <c r="J58" s="37" t="s">
        <v>181</v>
      </c>
      <c r="K58" s="37" t="s">
        <v>1374</v>
      </c>
      <c r="L58" s="37" t="s">
        <v>1313</v>
      </c>
      <c r="M58" s="37" t="s">
        <v>314</v>
      </c>
      <c r="N58" s="37" t="s">
        <v>526</v>
      </c>
      <c r="O58" s="37" t="s">
        <v>514</v>
      </c>
    </row>
    <row r="59" customFormat="false" ht="12.75" hidden="false" customHeight="true" outlineLevel="0" collapsed="false">
      <c r="A59" s="37" t="n">
        <v>58</v>
      </c>
      <c r="B59" s="37" t="s">
        <v>527</v>
      </c>
      <c r="C59" s="37" t="s">
        <v>308</v>
      </c>
      <c r="D59" s="37" t="s">
        <v>1439</v>
      </c>
      <c r="E59" s="38" t="s">
        <v>1440</v>
      </c>
      <c r="F59" s="37" t="s">
        <v>98</v>
      </c>
      <c r="G59" s="37" t="s">
        <v>367</v>
      </c>
      <c r="H59" s="37" t="n">
        <v>1</v>
      </c>
      <c r="I59" s="37"/>
      <c r="J59" s="37" t="s">
        <v>181</v>
      </c>
      <c r="K59" s="37" t="s">
        <v>1374</v>
      </c>
      <c r="L59" s="37" t="s">
        <v>1313</v>
      </c>
      <c r="M59" s="37" t="s">
        <v>314</v>
      </c>
      <c r="N59" s="37" t="s">
        <v>533</v>
      </c>
      <c r="O59" s="37" t="s">
        <v>500</v>
      </c>
    </row>
    <row r="60" customFormat="false" ht="12.75" hidden="false" customHeight="true" outlineLevel="0" collapsed="false">
      <c r="A60" s="37" t="n">
        <v>59</v>
      </c>
      <c r="B60" s="37" t="s">
        <v>534</v>
      </c>
      <c r="C60" s="37" t="s">
        <v>308</v>
      </c>
      <c r="D60" s="37" t="s">
        <v>1441</v>
      </c>
      <c r="E60" s="38" t="s">
        <v>1442</v>
      </c>
      <c r="F60" s="37" t="s">
        <v>98</v>
      </c>
      <c r="G60" s="37" t="s">
        <v>367</v>
      </c>
      <c r="H60" s="37" t="n">
        <v>1</v>
      </c>
      <c r="I60" s="37"/>
      <c r="J60" s="37" t="s">
        <v>181</v>
      </c>
      <c r="K60" s="37" t="s">
        <v>1374</v>
      </c>
      <c r="L60" s="37" t="s">
        <v>1313</v>
      </c>
      <c r="M60" s="37" t="s">
        <v>314</v>
      </c>
      <c r="N60" s="37" t="s">
        <v>539</v>
      </c>
      <c r="O60" s="37" t="s">
        <v>233</v>
      </c>
    </row>
    <row r="61" customFormat="false" ht="12.75" hidden="false" customHeight="true" outlineLevel="0" collapsed="false">
      <c r="A61" s="37" t="n">
        <v>60</v>
      </c>
      <c r="B61" s="37" t="s">
        <v>540</v>
      </c>
      <c r="C61" s="37" t="s">
        <v>234</v>
      </c>
      <c r="D61" s="37" t="s">
        <v>1443</v>
      </c>
      <c r="E61" s="38" t="s">
        <v>1444</v>
      </c>
      <c r="F61" s="37" t="s">
        <v>98</v>
      </c>
      <c r="G61" s="37" t="s">
        <v>243</v>
      </c>
      <c r="H61" s="37" t="n">
        <v>2</v>
      </c>
      <c r="I61" s="37"/>
      <c r="J61" s="37" t="s">
        <v>184</v>
      </c>
      <c r="K61" s="37" t="s">
        <v>1374</v>
      </c>
      <c r="L61" s="37" t="s">
        <v>1313</v>
      </c>
      <c r="M61" s="37" t="s">
        <v>314</v>
      </c>
      <c r="N61" s="37" t="s">
        <v>545</v>
      </c>
      <c r="O61" s="37" t="s">
        <v>276</v>
      </c>
    </row>
    <row r="62" customFormat="false" ht="12.75" hidden="false" customHeight="true" outlineLevel="0" collapsed="false">
      <c r="A62" s="37" t="n">
        <v>61</v>
      </c>
      <c r="B62" s="37" t="s">
        <v>546</v>
      </c>
      <c r="C62" s="37" t="s">
        <v>234</v>
      </c>
      <c r="D62" s="37" t="s">
        <v>1445</v>
      </c>
      <c r="E62" s="38" t="s">
        <v>1446</v>
      </c>
      <c r="F62" s="37" t="s">
        <v>98</v>
      </c>
      <c r="G62" s="37" t="s">
        <v>274</v>
      </c>
      <c r="H62" s="37" t="n">
        <v>1</v>
      </c>
      <c r="I62" s="37"/>
      <c r="J62" s="37" t="s">
        <v>184</v>
      </c>
      <c r="K62" s="37" t="s">
        <v>1374</v>
      </c>
      <c r="L62" s="37" t="s">
        <v>1313</v>
      </c>
      <c r="M62" s="37" t="s">
        <v>314</v>
      </c>
      <c r="N62" s="37" t="s">
        <v>550</v>
      </c>
      <c r="O62" s="37" t="s">
        <v>1447</v>
      </c>
    </row>
    <row r="63" customFormat="false" ht="12.75" hidden="false" customHeight="true" outlineLevel="0" collapsed="false">
      <c r="A63" s="37" t="n">
        <v>62</v>
      </c>
      <c r="B63" s="37" t="s">
        <v>187</v>
      </c>
      <c r="C63" s="37" t="s">
        <v>221</v>
      </c>
      <c r="D63" s="37" t="s">
        <v>1448</v>
      </c>
      <c r="E63" s="38" t="s">
        <v>1449</v>
      </c>
      <c r="F63" s="37" t="s">
        <v>106</v>
      </c>
      <c r="G63" s="37" t="s">
        <v>274</v>
      </c>
      <c r="H63" s="37"/>
      <c r="I63" s="37" t="s">
        <v>187</v>
      </c>
      <c r="J63" s="37"/>
      <c r="K63" s="37"/>
      <c r="L63" s="37" t="s">
        <v>1313</v>
      </c>
      <c r="M63" s="37" t="s">
        <v>110</v>
      </c>
      <c r="N63" s="37" t="s">
        <v>1314</v>
      </c>
      <c r="O63" s="37"/>
    </row>
    <row r="64" customFormat="false" ht="12.75" hidden="false" customHeight="true" outlineLevel="0" collapsed="false">
      <c r="A64" s="37" t="n">
        <v>63</v>
      </c>
      <c r="B64" s="37" t="s">
        <v>195</v>
      </c>
      <c r="C64" s="37" t="s">
        <v>221</v>
      </c>
      <c r="D64" s="37" t="s">
        <v>1450</v>
      </c>
      <c r="E64" s="38" t="s">
        <v>1451</v>
      </c>
      <c r="F64" s="37" t="s">
        <v>106</v>
      </c>
      <c r="G64" s="37" t="s">
        <v>274</v>
      </c>
      <c r="H64" s="37"/>
      <c r="I64" s="37" t="s">
        <v>195</v>
      </c>
      <c r="J64" s="37"/>
      <c r="K64" s="37"/>
      <c r="L64" s="37" t="s">
        <v>1313</v>
      </c>
      <c r="M64" s="37" t="s">
        <v>110</v>
      </c>
      <c r="N64" s="37" t="s">
        <v>1314</v>
      </c>
      <c r="O64" s="37"/>
    </row>
    <row r="65" customFormat="false" ht="12.75" hidden="false" customHeight="true" outlineLevel="0" collapsed="false">
      <c r="A65" s="37" t="n">
        <v>64</v>
      </c>
      <c r="B65" s="37" t="s">
        <v>551</v>
      </c>
      <c r="C65" s="37" t="s">
        <v>234</v>
      </c>
      <c r="D65" s="37" t="s">
        <v>1452</v>
      </c>
      <c r="E65" s="38" t="s">
        <v>1453</v>
      </c>
      <c r="F65" s="37" t="s">
        <v>106</v>
      </c>
      <c r="G65" s="37" t="s">
        <v>243</v>
      </c>
      <c r="H65" s="37" t="n">
        <v>3</v>
      </c>
      <c r="I65" s="37"/>
      <c r="J65" s="37" t="s">
        <v>187</v>
      </c>
      <c r="K65" s="37" t="s">
        <v>1321</v>
      </c>
      <c r="L65" s="37" t="s">
        <v>1313</v>
      </c>
      <c r="M65" s="37" t="s">
        <v>314</v>
      </c>
      <c r="N65" s="37" t="s">
        <v>557</v>
      </c>
      <c r="O65" s="37" t="s">
        <v>233</v>
      </c>
    </row>
    <row r="66" customFormat="false" ht="12.75" hidden="false" customHeight="true" outlineLevel="0" collapsed="false">
      <c r="A66" s="37" t="n">
        <v>65</v>
      </c>
      <c r="B66" s="37" t="s">
        <v>558</v>
      </c>
      <c r="C66" s="37" t="s">
        <v>308</v>
      </c>
      <c r="D66" s="37" t="s">
        <v>1454</v>
      </c>
      <c r="E66" s="38" t="s">
        <v>1455</v>
      </c>
      <c r="F66" s="37" t="s">
        <v>106</v>
      </c>
      <c r="G66" s="37" t="s">
        <v>243</v>
      </c>
      <c r="H66" s="37" t="n">
        <v>3</v>
      </c>
      <c r="I66" s="37"/>
      <c r="J66" s="37" t="s">
        <v>187</v>
      </c>
      <c r="K66" s="37" t="s">
        <v>1326</v>
      </c>
      <c r="L66" s="37" t="s">
        <v>1313</v>
      </c>
      <c r="M66" s="37" t="s">
        <v>314</v>
      </c>
      <c r="N66" s="37" t="s">
        <v>563</v>
      </c>
      <c r="O66" s="37" t="s">
        <v>551</v>
      </c>
    </row>
    <row r="67" customFormat="false" ht="12.75" hidden="false" customHeight="true" outlineLevel="0" collapsed="false">
      <c r="A67" s="37" t="n">
        <v>66</v>
      </c>
      <c r="B67" s="37" t="s">
        <v>564</v>
      </c>
      <c r="C67" s="37" t="s">
        <v>308</v>
      </c>
      <c r="D67" s="37" t="s">
        <v>1456</v>
      </c>
      <c r="E67" s="38" t="s">
        <v>1457</v>
      </c>
      <c r="F67" s="37" t="s">
        <v>106</v>
      </c>
      <c r="G67" s="37" t="s">
        <v>243</v>
      </c>
      <c r="H67" s="37" t="n">
        <v>2</v>
      </c>
      <c r="I67" s="37"/>
      <c r="J67" s="37" t="s">
        <v>187</v>
      </c>
      <c r="K67" s="37" t="s">
        <v>1326</v>
      </c>
      <c r="L67" s="37" t="s">
        <v>1313</v>
      </c>
      <c r="M67" s="37" t="s">
        <v>314</v>
      </c>
      <c r="N67" s="37" t="s">
        <v>570</v>
      </c>
      <c r="O67" s="37" t="s">
        <v>558</v>
      </c>
    </row>
    <row r="68" customFormat="false" ht="12.75" hidden="false" customHeight="true" outlineLevel="0" collapsed="false">
      <c r="A68" s="37" t="n">
        <v>67</v>
      </c>
      <c r="B68" s="37" t="s">
        <v>571</v>
      </c>
      <c r="C68" s="37" t="s">
        <v>308</v>
      </c>
      <c r="D68" s="37" t="s">
        <v>1458</v>
      </c>
      <c r="E68" s="38" t="s">
        <v>1459</v>
      </c>
      <c r="F68" s="37" t="s">
        <v>106</v>
      </c>
      <c r="G68" s="37" t="s">
        <v>367</v>
      </c>
      <c r="H68" s="37" t="n">
        <v>1</v>
      </c>
      <c r="I68" s="37"/>
      <c r="J68" s="37" t="s">
        <v>195</v>
      </c>
      <c r="K68" s="37" t="s">
        <v>1326</v>
      </c>
      <c r="L68" s="37" t="s">
        <v>1313</v>
      </c>
      <c r="M68" s="37" t="s">
        <v>314</v>
      </c>
      <c r="N68" s="37" t="s">
        <v>576</v>
      </c>
      <c r="O68" s="37" t="s">
        <v>564</v>
      </c>
    </row>
    <row r="69" customFormat="false" ht="12.75" hidden="false" customHeight="true" outlineLevel="0" collapsed="false">
      <c r="A69" s="37" t="n">
        <v>68</v>
      </c>
      <c r="B69" s="37" t="s">
        <v>577</v>
      </c>
      <c r="C69" s="37" t="s">
        <v>308</v>
      </c>
      <c r="D69" s="37" t="s">
        <v>1460</v>
      </c>
      <c r="E69" s="38" t="s">
        <v>1461</v>
      </c>
      <c r="F69" s="37" t="s">
        <v>106</v>
      </c>
      <c r="G69" s="37" t="s">
        <v>274</v>
      </c>
      <c r="H69" s="37" t="n">
        <v>1</v>
      </c>
      <c r="I69" s="37"/>
      <c r="J69" s="37" t="s">
        <v>195</v>
      </c>
      <c r="K69" s="37" t="s">
        <v>1326</v>
      </c>
      <c r="L69" s="37" t="s">
        <v>1313</v>
      </c>
      <c r="M69" s="37" t="s">
        <v>314</v>
      </c>
      <c r="N69" s="37" t="s">
        <v>570</v>
      </c>
      <c r="O69" s="37" t="s">
        <v>564</v>
      </c>
    </row>
    <row r="70" customFormat="false" ht="12.75" hidden="false" customHeight="true" outlineLevel="0" collapsed="false">
      <c r="A70" s="37" t="n">
        <v>69</v>
      </c>
      <c r="B70" s="37" t="s">
        <v>581</v>
      </c>
      <c r="C70" s="37" t="s">
        <v>234</v>
      </c>
      <c r="D70" s="37" t="s">
        <v>1462</v>
      </c>
      <c r="E70" s="38" t="s">
        <v>1463</v>
      </c>
      <c r="F70" s="37" t="s">
        <v>106</v>
      </c>
      <c r="G70" s="37" t="s">
        <v>367</v>
      </c>
      <c r="H70" s="37" t="n">
        <v>2</v>
      </c>
      <c r="I70" s="37"/>
      <c r="J70" s="37" t="s">
        <v>195</v>
      </c>
      <c r="K70" s="37" t="s">
        <v>1326</v>
      </c>
      <c r="L70" s="37" t="s">
        <v>1313</v>
      </c>
      <c r="M70" s="37" t="s">
        <v>314</v>
      </c>
      <c r="N70" s="37" t="s">
        <v>585</v>
      </c>
      <c r="O70" s="37" t="s">
        <v>558</v>
      </c>
    </row>
    <row r="71" customFormat="false" ht="12.75" hidden="false" customHeight="true" outlineLevel="0" collapsed="false">
      <c r="A71" s="37" t="n">
        <v>70</v>
      </c>
      <c r="B71" s="37" t="s">
        <v>586</v>
      </c>
      <c r="C71" s="37" t="s">
        <v>234</v>
      </c>
      <c r="D71" s="37" t="s">
        <v>1464</v>
      </c>
      <c r="E71" s="38" t="s">
        <v>1465</v>
      </c>
      <c r="F71" s="37" t="s">
        <v>106</v>
      </c>
      <c r="G71" s="37" t="s">
        <v>274</v>
      </c>
      <c r="H71" s="37" t="n">
        <v>1</v>
      </c>
      <c r="I71" s="37"/>
      <c r="J71" s="37" t="s">
        <v>195</v>
      </c>
      <c r="K71" s="37" t="s">
        <v>1374</v>
      </c>
      <c r="L71" s="37" t="s">
        <v>1313</v>
      </c>
      <c r="M71" s="37" t="s">
        <v>314</v>
      </c>
      <c r="N71" s="37" t="s">
        <v>591</v>
      </c>
      <c r="O71" s="37" t="s">
        <v>1466</v>
      </c>
    </row>
    <row r="72" customFormat="false" ht="12.75" hidden="false" customHeight="true" outlineLevel="0" collapsed="false">
      <c r="A72" s="37" t="n">
        <v>71</v>
      </c>
      <c r="B72" s="37" t="s">
        <v>198</v>
      </c>
      <c r="C72" s="37" t="s">
        <v>221</v>
      </c>
      <c r="D72" s="37" t="s">
        <v>1467</v>
      </c>
      <c r="E72" s="38" t="s">
        <v>1468</v>
      </c>
      <c r="F72" s="37" t="s">
        <v>114</v>
      </c>
      <c r="G72" s="37" t="s">
        <v>274</v>
      </c>
      <c r="H72" s="37"/>
      <c r="I72" s="37" t="s">
        <v>198</v>
      </c>
      <c r="J72" s="37"/>
      <c r="K72" s="37"/>
      <c r="L72" s="37" t="s">
        <v>1313</v>
      </c>
      <c r="M72" s="37" t="s">
        <v>118</v>
      </c>
      <c r="N72" s="37" t="s">
        <v>1314</v>
      </c>
      <c r="O72" s="37"/>
    </row>
    <row r="73" customFormat="false" ht="12.75" hidden="false" customHeight="true" outlineLevel="0" collapsed="false">
      <c r="A73" s="37" t="n">
        <v>72</v>
      </c>
      <c r="B73" s="37" t="s">
        <v>206</v>
      </c>
      <c r="C73" s="37" t="s">
        <v>221</v>
      </c>
      <c r="D73" s="37" t="s">
        <v>1469</v>
      </c>
      <c r="E73" s="38" t="s">
        <v>1470</v>
      </c>
      <c r="F73" s="37" t="s">
        <v>114</v>
      </c>
      <c r="G73" s="37" t="s">
        <v>274</v>
      </c>
      <c r="H73" s="37"/>
      <c r="I73" s="37" t="s">
        <v>206</v>
      </c>
      <c r="J73" s="37"/>
      <c r="K73" s="37"/>
      <c r="L73" s="37" t="s">
        <v>1313</v>
      </c>
      <c r="M73" s="37" t="s">
        <v>118</v>
      </c>
      <c r="N73" s="37" t="s">
        <v>1314</v>
      </c>
      <c r="O73" s="37"/>
    </row>
    <row r="74" customFormat="false" ht="12.75" hidden="false" customHeight="true" outlineLevel="0" collapsed="false">
      <c r="A74" s="37" t="n">
        <v>73</v>
      </c>
      <c r="B74" s="37" t="s">
        <v>209</v>
      </c>
      <c r="C74" s="37" t="s">
        <v>221</v>
      </c>
      <c r="D74" s="37" t="s">
        <v>1471</v>
      </c>
      <c r="E74" s="38" t="s">
        <v>1472</v>
      </c>
      <c r="F74" s="37" t="s">
        <v>114</v>
      </c>
      <c r="G74" s="37" t="s">
        <v>274</v>
      </c>
      <c r="H74" s="37"/>
      <c r="I74" s="37" t="s">
        <v>209</v>
      </c>
      <c r="J74" s="37"/>
      <c r="K74" s="37"/>
      <c r="L74" s="37" t="s">
        <v>1313</v>
      </c>
      <c r="M74" s="37" t="s">
        <v>118</v>
      </c>
      <c r="N74" s="37" t="s">
        <v>1314</v>
      </c>
      <c r="O74" s="37"/>
    </row>
    <row r="75" customFormat="false" ht="12.75" hidden="false" customHeight="true" outlineLevel="0" collapsed="false">
      <c r="A75" s="37" t="n">
        <v>74</v>
      </c>
      <c r="B75" s="37" t="s">
        <v>212</v>
      </c>
      <c r="C75" s="37" t="s">
        <v>221</v>
      </c>
      <c r="D75" s="37" t="s">
        <v>1473</v>
      </c>
      <c r="E75" s="38" t="s">
        <v>1474</v>
      </c>
      <c r="F75" s="37" t="s">
        <v>114</v>
      </c>
      <c r="G75" s="37" t="s">
        <v>274</v>
      </c>
      <c r="H75" s="37"/>
      <c r="I75" s="37" t="s">
        <v>212</v>
      </c>
      <c r="J75" s="37"/>
      <c r="K75" s="37"/>
      <c r="L75" s="37" t="s">
        <v>1313</v>
      </c>
      <c r="M75" s="37" t="s">
        <v>118</v>
      </c>
      <c r="N75" s="37" t="s">
        <v>1314</v>
      </c>
      <c r="O75" s="37"/>
    </row>
    <row r="76" customFormat="false" ht="12.75" hidden="false" customHeight="true" outlineLevel="0" collapsed="false">
      <c r="A76" s="37" t="n">
        <v>75</v>
      </c>
      <c r="B76" s="37" t="s">
        <v>215</v>
      </c>
      <c r="C76" s="37" t="s">
        <v>221</v>
      </c>
      <c r="D76" s="37" t="s">
        <v>1475</v>
      </c>
      <c r="E76" s="38" t="s">
        <v>1476</v>
      </c>
      <c r="F76" s="37" t="s">
        <v>114</v>
      </c>
      <c r="G76" s="37" t="s">
        <v>274</v>
      </c>
      <c r="H76" s="37"/>
      <c r="I76" s="37" t="s">
        <v>215</v>
      </c>
      <c r="J76" s="37"/>
      <c r="K76" s="37"/>
      <c r="L76" s="37" t="s">
        <v>1313</v>
      </c>
      <c r="M76" s="37" t="s">
        <v>118</v>
      </c>
      <c r="N76" s="37" t="s">
        <v>1314</v>
      </c>
      <c r="O76" s="37"/>
    </row>
    <row r="77" customFormat="false" ht="12.75" hidden="false" customHeight="true" outlineLevel="0" collapsed="false">
      <c r="A77" s="37" t="n">
        <v>76</v>
      </c>
      <c r="B77" s="37" t="s">
        <v>592</v>
      </c>
      <c r="C77" s="37" t="s">
        <v>234</v>
      </c>
      <c r="D77" s="37" t="s">
        <v>1477</v>
      </c>
      <c r="E77" s="38" t="s">
        <v>1478</v>
      </c>
      <c r="F77" s="37" t="s">
        <v>114</v>
      </c>
      <c r="G77" s="37" t="s">
        <v>243</v>
      </c>
      <c r="H77" s="37" t="n">
        <v>3</v>
      </c>
      <c r="I77" s="37"/>
      <c r="J77" s="37" t="s">
        <v>198</v>
      </c>
      <c r="K77" s="37" t="s">
        <v>1321</v>
      </c>
      <c r="L77" s="37" t="s">
        <v>1313</v>
      </c>
      <c r="M77" s="37" t="s">
        <v>314</v>
      </c>
      <c r="N77" s="37" t="s">
        <v>596</v>
      </c>
      <c r="O77" s="37" t="s">
        <v>263</v>
      </c>
    </row>
    <row r="78" customFormat="false" ht="12.75" hidden="false" customHeight="true" outlineLevel="0" collapsed="false">
      <c r="A78" s="37" t="n">
        <v>77</v>
      </c>
      <c r="B78" s="37" t="s">
        <v>597</v>
      </c>
      <c r="C78" s="37" t="s">
        <v>308</v>
      </c>
      <c r="D78" s="37" t="s">
        <v>1479</v>
      </c>
      <c r="E78" s="38" t="s">
        <v>1480</v>
      </c>
      <c r="F78" s="37" t="s">
        <v>114</v>
      </c>
      <c r="G78" s="37" t="s">
        <v>243</v>
      </c>
      <c r="H78" s="37" t="n">
        <v>3</v>
      </c>
      <c r="I78" s="37"/>
      <c r="J78" s="37" t="s">
        <v>198</v>
      </c>
      <c r="K78" s="37" t="s">
        <v>1326</v>
      </c>
      <c r="L78" s="37" t="s">
        <v>1313</v>
      </c>
      <c r="M78" s="37" t="s">
        <v>314</v>
      </c>
      <c r="N78" s="37" t="s">
        <v>602</v>
      </c>
      <c r="O78" s="37" t="s">
        <v>592</v>
      </c>
    </row>
    <row r="79" customFormat="false" ht="12.75" hidden="false" customHeight="true" outlineLevel="0" collapsed="false">
      <c r="A79" s="37" t="n">
        <v>78</v>
      </c>
      <c r="B79" s="37" t="s">
        <v>603</v>
      </c>
      <c r="C79" s="37" t="s">
        <v>308</v>
      </c>
      <c r="D79" s="37" t="s">
        <v>1481</v>
      </c>
      <c r="E79" s="38" t="s">
        <v>1482</v>
      </c>
      <c r="F79" s="37" t="s">
        <v>114</v>
      </c>
      <c r="G79" s="37" t="s">
        <v>243</v>
      </c>
      <c r="H79" s="37" t="n">
        <v>5</v>
      </c>
      <c r="I79" s="37"/>
      <c r="J79" s="37" t="s">
        <v>198</v>
      </c>
      <c r="K79" s="37" t="s">
        <v>1326</v>
      </c>
      <c r="L79" s="37" t="s">
        <v>1313</v>
      </c>
      <c r="M79" s="37" t="s">
        <v>314</v>
      </c>
      <c r="N79" s="37" t="s">
        <v>608</v>
      </c>
      <c r="O79" s="37" t="s">
        <v>289</v>
      </c>
    </row>
    <row r="80" customFormat="false" ht="12.75" hidden="false" customHeight="true" outlineLevel="0" collapsed="false">
      <c r="A80" s="37" t="n">
        <v>79</v>
      </c>
      <c r="B80" s="37" t="s">
        <v>609</v>
      </c>
      <c r="C80" s="37" t="s">
        <v>308</v>
      </c>
      <c r="D80" s="37" t="s">
        <v>1483</v>
      </c>
      <c r="E80" s="38" t="s">
        <v>1484</v>
      </c>
      <c r="F80" s="37" t="s">
        <v>114</v>
      </c>
      <c r="G80" s="37" t="s">
        <v>243</v>
      </c>
      <c r="H80" s="37" t="n">
        <v>5</v>
      </c>
      <c r="I80" s="37"/>
      <c r="J80" s="37" t="s">
        <v>198</v>
      </c>
      <c r="K80" s="37" t="s">
        <v>1326</v>
      </c>
      <c r="L80" s="37" t="s">
        <v>1313</v>
      </c>
      <c r="M80" s="37" t="s">
        <v>314</v>
      </c>
      <c r="N80" s="37" t="s">
        <v>615</v>
      </c>
      <c r="O80" s="37" t="s">
        <v>1485</v>
      </c>
    </row>
    <row r="81" customFormat="false" ht="12.75" hidden="false" customHeight="true" outlineLevel="0" collapsed="false">
      <c r="A81" s="37" t="n">
        <v>80</v>
      </c>
      <c r="B81" s="37" t="s">
        <v>616</v>
      </c>
      <c r="C81" s="37" t="s">
        <v>308</v>
      </c>
      <c r="D81" s="37" t="s">
        <v>1486</v>
      </c>
      <c r="E81" s="38" t="s">
        <v>1487</v>
      </c>
      <c r="F81" s="37" t="s">
        <v>114</v>
      </c>
      <c r="G81" s="37" t="s">
        <v>243</v>
      </c>
      <c r="H81" s="37" t="n">
        <v>2</v>
      </c>
      <c r="I81" s="37"/>
      <c r="J81" s="37" t="s">
        <v>198</v>
      </c>
      <c r="K81" s="37" t="s">
        <v>1374</v>
      </c>
      <c r="L81" s="37" t="s">
        <v>1313</v>
      </c>
      <c r="M81" s="37" t="s">
        <v>314</v>
      </c>
      <c r="N81" s="37" t="s">
        <v>621</v>
      </c>
      <c r="O81" s="37" t="s">
        <v>609</v>
      </c>
    </row>
    <row r="82" customFormat="false" ht="12.75" hidden="false" customHeight="true" outlineLevel="0" collapsed="false">
      <c r="A82" s="37" t="n">
        <v>81</v>
      </c>
      <c r="B82" s="37" t="s">
        <v>622</v>
      </c>
      <c r="C82" s="37" t="s">
        <v>308</v>
      </c>
      <c r="D82" s="37" t="s">
        <v>1488</v>
      </c>
      <c r="E82" s="38" t="s">
        <v>1489</v>
      </c>
      <c r="F82" s="37" t="s">
        <v>114</v>
      </c>
      <c r="G82" s="37" t="s">
        <v>243</v>
      </c>
      <c r="H82" s="37" t="n">
        <v>3</v>
      </c>
      <c r="I82" s="37"/>
      <c r="J82" s="37" t="s">
        <v>198</v>
      </c>
      <c r="K82" s="37" t="s">
        <v>1374</v>
      </c>
      <c r="L82" s="37" t="s">
        <v>1313</v>
      </c>
      <c r="M82" s="37" t="s">
        <v>314</v>
      </c>
      <c r="N82" s="37" t="s">
        <v>627</v>
      </c>
      <c r="O82" s="37" t="s">
        <v>609</v>
      </c>
    </row>
    <row r="83" customFormat="false" ht="12.75" hidden="false" customHeight="true" outlineLevel="0" collapsed="false">
      <c r="A83" s="37" t="n">
        <v>82</v>
      </c>
      <c r="B83" s="37" t="s">
        <v>628</v>
      </c>
      <c r="C83" s="37" t="s">
        <v>308</v>
      </c>
      <c r="D83" s="37" t="s">
        <v>1490</v>
      </c>
      <c r="E83" s="38" t="s">
        <v>1491</v>
      </c>
      <c r="F83" s="37" t="s">
        <v>114</v>
      </c>
      <c r="G83" s="37" t="s">
        <v>274</v>
      </c>
      <c r="H83" s="37" t="n">
        <v>3</v>
      </c>
      <c r="I83" s="37"/>
      <c r="J83" s="37" t="s">
        <v>198</v>
      </c>
      <c r="K83" s="37" t="s">
        <v>1374</v>
      </c>
      <c r="L83" s="37" t="s">
        <v>1313</v>
      </c>
      <c r="M83" s="37" t="s">
        <v>314</v>
      </c>
      <c r="N83" s="37" t="s">
        <v>633</v>
      </c>
      <c r="O83" s="37" t="s">
        <v>603</v>
      </c>
    </row>
    <row r="84" customFormat="false" ht="12.75" hidden="false" customHeight="true" outlineLevel="0" collapsed="false">
      <c r="A84" s="37" t="n">
        <v>83</v>
      </c>
      <c r="B84" s="37" t="s">
        <v>634</v>
      </c>
      <c r="C84" s="37" t="s">
        <v>308</v>
      </c>
      <c r="D84" s="37" t="s">
        <v>1492</v>
      </c>
      <c r="E84" s="38" t="s">
        <v>1493</v>
      </c>
      <c r="F84" s="37" t="s">
        <v>114</v>
      </c>
      <c r="G84" s="37" t="s">
        <v>274</v>
      </c>
      <c r="H84" s="37" t="n">
        <v>2</v>
      </c>
      <c r="I84" s="37"/>
      <c r="J84" s="37" t="s">
        <v>198</v>
      </c>
      <c r="K84" s="37" t="s">
        <v>1374</v>
      </c>
      <c r="L84" s="37" t="s">
        <v>1313</v>
      </c>
      <c r="M84" s="37" t="s">
        <v>314</v>
      </c>
      <c r="N84" s="37" t="s">
        <v>640</v>
      </c>
      <c r="O84" s="37" t="s">
        <v>1494</v>
      </c>
    </row>
    <row r="85" customFormat="false" ht="12.75" hidden="false" customHeight="true" outlineLevel="0" collapsed="false">
      <c r="A85" s="37" t="n">
        <v>84</v>
      </c>
      <c r="B85" s="37" t="s">
        <v>641</v>
      </c>
      <c r="C85" s="37" t="s">
        <v>308</v>
      </c>
      <c r="D85" s="37" t="s">
        <v>1495</v>
      </c>
      <c r="E85" s="38" t="s">
        <v>1496</v>
      </c>
      <c r="F85" s="37" t="s">
        <v>114</v>
      </c>
      <c r="G85" s="37" t="s">
        <v>243</v>
      </c>
      <c r="H85" s="37" t="n">
        <v>2</v>
      </c>
      <c r="I85" s="37"/>
      <c r="J85" s="37" t="s">
        <v>206</v>
      </c>
      <c r="K85" s="37" t="s">
        <v>1326</v>
      </c>
      <c r="L85" s="37" t="s">
        <v>1313</v>
      </c>
      <c r="M85" s="37" t="s">
        <v>314</v>
      </c>
      <c r="N85" s="37" t="s">
        <v>648</v>
      </c>
      <c r="O85" s="37" t="s">
        <v>592</v>
      </c>
    </row>
    <row r="86" customFormat="false" ht="12.75" hidden="false" customHeight="true" outlineLevel="0" collapsed="false">
      <c r="A86" s="37" t="n">
        <v>85</v>
      </c>
      <c r="B86" s="37" t="s">
        <v>649</v>
      </c>
      <c r="C86" s="37" t="s">
        <v>308</v>
      </c>
      <c r="D86" s="37" t="s">
        <v>1497</v>
      </c>
      <c r="E86" s="38" t="s">
        <v>1498</v>
      </c>
      <c r="F86" s="37" t="s">
        <v>114</v>
      </c>
      <c r="G86" s="37" t="s">
        <v>243</v>
      </c>
      <c r="H86" s="37" t="n">
        <v>3</v>
      </c>
      <c r="I86" s="37"/>
      <c r="J86" s="37" t="s">
        <v>206</v>
      </c>
      <c r="K86" s="37" t="s">
        <v>1326</v>
      </c>
      <c r="L86" s="37" t="s">
        <v>1313</v>
      </c>
      <c r="M86" s="37" t="s">
        <v>314</v>
      </c>
      <c r="N86" s="37" t="s">
        <v>656</v>
      </c>
      <c r="O86" s="37" t="s">
        <v>641</v>
      </c>
    </row>
    <row r="87" customFormat="false" ht="12.75" hidden="false" customHeight="true" outlineLevel="0" collapsed="false">
      <c r="A87" s="37" t="n">
        <v>86</v>
      </c>
      <c r="B87" s="37" t="s">
        <v>657</v>
      </c>
      <c r="C87" s="37" t="s">
        <v>308</v>
      </c>
      <c r="D87" s="37" t="s">
        <v>1499</v>
      </c>
      <c r="E87" s="38" t="s">
        <v>1500</v>
      </c>
      <c r="F87" s="37" t="s">
        <v>114</v>
      </c>
      <c r="G87" s="37" t="s">
        <v>243</v>
      </c>
      <c r="H87" s="37" t="n">
        <v>2</v>
      </c>
      <c r="I87" s="37"/>
      <c r="J87" s="37" t="s">
        <v>206</v>
      </c>
      <c r="K87" s="37" t="s">
        <v>1326</v>
      </c>
      <c r="L87" s="37" t="s">
        <v>1313</v>
      </c>
      <c r="M87" s="37" t="s">
        <v>314</v>
      </c>
      <c r="N87" s="37" t="s">
        <v>663</v>
      </c>
      <c r="O87" s="37" t="s">
        <v>649</v>
      </c>
    </row>
    <row r="88" customFormat="false" ht="12.75" hidden="false" customHeight="true" outlineLevel="0" collapsed="false">
      <c r="A88" s="37" t="n">
        <v>87</v>
      </c>
      <c r="B88" s="37" t="s">
        <v>664</v>
      </c>
      <c r="C88" s="37" t="s">
        <v>308</v>
      </c>
      <c r="D88" s="37" t="s">
        <v>1501</v>
      </c>
      <c r="E88" s="38" t="s">
        <v>1502</v>
      </c>
      <c r="F88" s="37" t="s">
        <v>114</v>
      </c>
      <c r="G88" s="37" t="s">
        <v>274</v>
      </c>
      <c r="H88" s="37" t="n">
        <v>1</v>
      </c>
      <c r="I88" s="37"/>
      <c r="J88" s="37" t="s">
        <v>206</v>
      </c>
      <c r="K88" s="37" t="s">
        <v>1326</v>
      </c>
      <c r="L88" s="37" t="s">
        <v>1313</v>
      </c>
      <c r="M88" s="37" t="s">
        <v>314</v>
      </c>
      <c r="N88" s="37" t="s">
        <v>648</v>
      </c>
      <c r="O88" s="37" t="s">
        <v>657</v>
      </c>
    </row>
    <row r="89" customFormat="false" ht="12.75" hidden="false" customHeight="true" outlineLevel="0" collapsed="false">
      <c r="A89" s="37" t="n">
        <v>88</v>
      </c>
      <c r="B89" s="37" t="s">
        <v>669</v>
      </c>
      <c r="C89" s="37" t="s">
        <v>308</v>
      </c>
      <c r="D89" s="37" t="s">
        <v>1503</v>
      </c>
      <c r="E89" s="38" t="s">
        <v>1504</v>
      </c>
      <c r="F89" s="37" t="s">
        <v>114</v>
      </c>
      <c r="G89" s="37" t="s">
        <v>367</v>
      </c>
      <c r="H89" s="37" t="n">
        <v>2</v>
      </c>
      <c r="I89" s="37"/>
      <c r="J89" s="37" t="s">
        <v>206</v>
      </c>
      <c r="K89" s="37" t="s">
        <v>1374</v>
      </c>
      <c r="L89" s="37" t="s">
        <v>1313</v>
      </c>
      <c r="M89" s="37" t="s">
        <v>314</v>
      </c>
      <c r="N89" s="37" t="s">
        <v>675</v>
      </c>
      <c r="O89" s="37" t="s">
        <v>657</v>
      </c>
    </row>
    <row r="90" customFormat="false" ht="12.75" hidden="false" customHeight="true" outlineLevel="0" collapsed="false">
      <c r="A90" s="37" t="n">
        <v>89</v>
      </c>
      <c r="B90" s="37" t="s">
        <v>676</v>
      </c>
      <c r="C90" s="37" t="s">
        <v>308</v>
      </c>
      <c r="D90" s="37" t="s">
        <v>1505</v>
      </c>
      <c r="E90" s="38" t="s">
        <v>1506</v>
      </c>
      <c r="F90" s="37" t="s">
        <v>114</v>
      </c>
      <c r="G90" s="37" t="s">
        <v>274</v>
      </c>
      <c r="H90" s="37" t="n">
        <v>2</v>
      </c>
      <c r="I90" s="37"/>
      <c r="J90" s="37" t="s">
        <v>206</v>
      </c>
      <c r="K90" s="37" t="s">
        <v>1374</v>
      </c>
      <c r="L90" s="37" t="s">
        <v>1313</v>
      </c>
      <c r="M90" s="37" t="s">
        <v>314</v>
      </c>
      <c r="N90" s="37" t="s">
        <v>681</v>
      </c>
      <c r="O90" s="37" t="s">
        <v>609</v>
      </c>
    </row>
    <row r="91" customFormat="false" ht="12.75" hidden="false" customHeight="true" outlineLevel="0" collapsed="false">
      <c r="A91" s="37" t="n">
        <v>90</v>
      </c>
      <c r="B91" s="37" t="s">
        <v>682</v>
      </c>
      <c r="C91" s="37" t="s">
        <v>308</v>
      </c>
      <c r="D91" s="37" t="s">
        <v>1507</v>
      </c>
      <c r="E91" s="38" t="s">
        <v>1508</v>
      </c>
      <c r="F91" s="37" t="s">
        <v>114</v>
      </c>
      <c r="G91" s="37" t="s">
        <v>367</v>
      </c>
      <c r="H91" s="37" t="n">
        <v>3</v>
      </c>
      <c r="I91" s="37"/>
      <c r="J91" s="37" t="s">
        <v>206</v>
      </c>
      <c r="K91" s="37" t="s">
        <v>1374</v>
      </c>
      <c r="L91" s="37" t="s">
        <v>1313</v>
      </c>
      <c r="M91" s="37" t="s">
        <v>314</v>
      </c>
      <c r="N91" s="37" t="s">
        <v>687</v>
      </c>
      <c r="O91" s="37" t="s">
        <v>603</v>
      </c>
    </row>
    <row r="92" customFormat="false" ht="12.75" hidden="false" customHeight="true" outlineLevel="0" collapsed="false">
      <c r="A92" s="37" t="n">
        <v>91</v>
      </c>
      <c r="B92" s="37" t="s">
        <v>688</v>
      </c>
      <c r="C92" s="37" t="s">
        <v>308</v>
      </c>
      <c r="D92" s="37" t="s">
        <v>1509</v>
      </c>
      <c r="E92" s="38" t="s">
        <v>1510</v>
      </c>
      <c r="F92" s="37" t="s">
        <v>114</v>
      </c>
      <c r="G92" s="37" t="s">
        <v>274</v>
      </c>
      <c r="H92" s="37" t="n">
        <v>5</v>
      </c>
      <c r="I92" s="37"/>
      <c r="J92" s="37" t="s">
        <v>206</v>
      </c>
      <c r="K92" s="37" t="s">
        <v>1374</v>
      </c>
      <c r="L92" s="37" t="s">
        <v>1313</v>
      </c>
      <c r="M92" s="37" t="s">
        <v>314</v>
      </c>
      <c r="N92" s="37" t="s">
        <v>693</v>
      </c>
      <c r="O92" s="37" t="s">
        <v>657</v>
      </c>
    </row>
    <row r="93" customFormat="false" ht="12.75" hidden="false" customHeight="true" outlineLevel="0" collapsed="false">
      <c r="A93" s="37" t="n">
        <v>92</v>
      </c>
      <c r="B93" s="37" t="s">
        <v>694</v>
      </c>
      <c r="C93" s="37" t="s">
        <v>308</v>
      </c>
      <c r="D93" s="37" t="s">
        <v>1511</v>
      </c>
      <c r="E93" s="38" t="s">
        <v>1512</v>
      </c>
      <c r="F93" s="37" t="s">
        <v>114</v>
      </c>
      <c r="G93" s="37" t="s">
        <v>367</v>
      </c>
      <c r="H93" s="37" t="n">
        <v>3</v>
      </c>
      <c r="I93" s="37"/>
      <c r="J93" s="37" t="s">
        <v>206</v>
      </c>
      <c r="K93" s="37" t="s">
        <v>1374</v>
      </c>
      <c r="L93" s="37" t="s">
        <v>1313</v>
      </c>
      <c r="M93" s="37" t="s">
        <v>314</v>
      </c>
      <c r="N93" s="37" t="s">
        <v>699</v>
      </c>
      <c r="O93" s="37" t="s">
        <v>603</v>
      </c>
    </row>
    <row r="94" customFormat="false" ht="12.75" hidden="false" customHeight="true" outlineLevel="0" collapsed="false">
      <c r="A94" s="37" t="n">
        <v>93</v>
      </c>
      <c r="B94" s="37" t="s">
        <v>700</v>
      </c>
      <c r="C94" s="37" t="s">
        <v>308</v>
      </c>
      <c r="D94" s="37" t="s">
        <v>1513</v>
      </c>
      <c r="E94" s="38" t="s">
        <v>1514</v>
      </c>
      <c r="F94" s="37" t="s">
        <v>114</v>
      </c>
      <c r="G94" s="37" t="s">
        <v>274</v>
      </c>
      <c r="H94" s="37" t="n">
        <v>3</v>
      </c>
      <c r="I94" s="37"/>
      <c r="J94" s="37" t="s">
        <v>209</v>
      </c>
      <c r="K94" s="37" t="s">
        <v>1374</v>
      </c>
      <c r="L94" s="37" t="s">
        <v>1313</v>
      </c>
      <c r="M94" s="37" t="s">
        <v>706</v>
      </c>
      <c r="N94" s="37" t="s">
        <v>707</v>
      </c>
      <c r="O94" s="37" t="s">
        <v>603</v>
      </c>
    </row>
    <row r="95" customFormat="false" ht="12.75" hidden="false" customHeight="true" outlineLevel="0" collapsed="false">
      <c r="A95" s="37" t="n">
        <v>94</v>
      </c>
      <c r="B95" s="37" t="s">
        <v>708</v>
      </c>
      <c r="C95" s="37" t="s">
        <v>308</v>
      </c>
      <c r="D95" s="37" t="s">
        <v>1515</v>
      </c>
      <c r="E95" s="38" t="s">
        <v>1516</v>
      </c>
      <c r="F95" s="37" t="s">
        <v>114</v>
      </c>
      <c r="G95" s="37" t="s">
        <v>367</v>
      </c>
      <c r="H95" s="37" t="n">
        <v>2</v>
      </c>
      <c r="I95" s="37"/>
      <c r="J95" s="37" t="s">
        <v>209</v>
      </c>
      <c r="K95" s="37" t="s">
        <v>1374</v>
      </c>
      <c r="L95" s="37" t="s">
        <v>1313</v>
      </c>
      <c r="M95" s="37" t="s">
        <v>706</v>
      </c>
      <c r="N95" s="37" t="s">
        <v>707</v>
      </c>
      <c r="O95" s="37" t="s">
        <v>700</v>
      </c>
    </row>
    <row r="96" customFormat="false" ht="12.75" hidden="false" customHeight="true" outlineLevel="0" collapsed="false">
      <c r="A96" s="37" t="n">
        <v>95</v>
      </c>
      <c r="B96" s="37" t="s">
        <v>713</v>
      </c>
      <c r="C96" s="37" t="s">
        <v>308</v>
      </c>
      <c r="D96" s="37" t="s">
        <v>1517</v>
      </c>
      <c r="E96" s="38" t="s">
        <v>1518</v>
      </c>
      <c r="F96" s="37" t="s">
        <v>114</v>
      </c>
      <c r="G96" s="37" t="s">
        <v>274</v>
      </c>
      <c r="H96" s="37" t="n">
        <v>2</v>
      </c>
      <c r="I96" s="37"/>
      <c r="J96" s="37" t="s">
        <v>209</v>
      </c>
      <c r="K96" s="37" t="s">
        <v>1374</v>
      </c>
      <c r="L96" s="37" t="s">
        <v>1313</v>
      </c>
      <c r="M96" s="37" t="s">
        <v>706</v>
      </c>
      <c r="N96" s="37" t="s">
        <v>719</v>
      </c>
      <c r="O96" s="37" t="s">
        <v>603</v>
      </c>
    </row>
    <row r="97" customFormat="false" ht="12.75" hidden="false" customHeight="true" outlineLevel="0" collapsed="false">
      <c r="A97" s="37" t="n">
        <v>96</v>
      </c>
      <c r="B97" s="37" t="s">
        <v>720</v>
      </c>
      <c r="C97" s="37" t="s">
        <v>308</v>
      </c>
      <c r="D97" s="37" t="s">
        <v>1519</v>
      </c>
      <c r="E97" s="38" t="s">
        <v>1520</v>
      </c>
      <c r="F97" s="37" t="s">
        <v>114</v>
      </c>
      <c r="G97" s="37" t="s">
        <v>274</v>
      </c>
      <c r="H97" s="37" t="n">
        <v>5</v>
      </c>
      <c r="I97" s="37"/>
      <c r="J97" s="37" t="s">
        <v>209</v>
      </c>
      <c r="K97" s="37" t="s">
        <v>1374</v>
      </c>
      <c r="L97" s="37" t="s">
        <v>1313</v>
      </c>
      <c r="M97" s="37" t="s">
        <v>706</v>
      </c>
      <c r="N97" s="37" t="s">
        <v>726</v>
      </c>
      <c r="O97" s="37" t="s">
        <v>1521</v>
      </c>
    </row>
    <row r="98" customFormat="false" ht="12.75" hidden="false" customHeight="true" outlineLevel="0" collapsed="false">
      <c r="A98" s="37" t="n">
        <v>97</v>
      </c>
      <c r="B98" s="37" t="s">
        <v>727</v>
      </c>
      <c r="C98" s="37" t="s">
        <v>308</v>
      </c>
      <c r="D98" s="37" t="s">
        <v>1522</v>
      </c>
      <c r="E98" s="38" t="s">
        <v>1523</v>
      </c>
      <c r="F98" s="37" t="s">
        <v>114</v>
      </c>
      <c r="G98" s="37" t="s">
        <v>274</v>
      </c>
      <c r="H98" s="37" t="n">
        <v>2</v>
      </c>
      <c r="I98" s="37"/>
      <c r="J98" s="37" t="s">
        <v>209</v>
      </c>
      <c r="K98" s="37" t="s">
        <v>1374</v>
      </c>
      <c r="L98" s="37" t="s">
        <v>1313</v>
      </c>
      <c r="M98" s="37" t="s">
        <v>706</v>
      </c>
      <c r="N98" s="37" t="s">
        <v>733</v>
      </c>
      <c r="O98" s="37" t="s">
        <v>1524</v>
      </c>
    </row>
    <row r="99" customFormat="false" ht="12.75" hidden="false" customHeight="true" outlineLevel="0" collapsed="false">
      <c r="A99" s="37" t="n">
        <v>98</v>
      </c>
      <c r="B99" s="37" t="s">
        <v>734</v>
      </c>
      <c r="C99" s="37" t="s">
        <v>308</v>
      </c>
      <c r="D99" s="37" t="s">
        <v>1525</v>
      </c>
      <c r="E99" s="38" t="s">
        <v>1526</v>
      </c>
      <c r="F99" s="37" t="s">
        <v>114</v>
      </c>
      <c r="G99" s="37" t="s">
        <v>367</v>
      </c>
      <c r="H99" s="37" t="n">
        <v>2</v>
      </c>
      <c r="I99" s="37"/>
      <c r="J99" s="37" t="s">
        <v>209</v>
      </c>
      <c r="K99" s="37" t="s">
        <v>1374</v>
      </c>
      <c r="L99" s="37" t="s">
        <v>1313</v>
      </c>
      <c r="M99" s="37" t="s">
        <v>706</v>
      </c>
      <c r="N99" s="37" t="s">
        <v>719</v>
      </c>
      <c r="O99" s="37" t="s">
        <v>720</v>
      </c>
    </row>
    <row r="100" customFormat="false" ht="12.75" hidden="false" customHeight="true" outlineLevel="0" collapsed="false">
      <c r="A100" s="37" t="n">
        <v>99</v>
      </c>
      <c r="B100" s="37" t="s">
        <v>739</v>
      </c>
      <c r="C100" s="37" t="s">
        <v>308</v>
      </c>
      <c r="D100" s="37" t="s">
        <v>1527</v>
      </c>
      <c r="E100" s="38" t="s">
        <v>1528</v>
      </c>
      <c r="F100" s="37" t="s">
        <v>114</v>
      </c>
      <c r="G100" s="37" t="s">
        <v>274</v>
      </c>
      <c r="H100" s="37" t="n">
        <v>3</v>
      </c>
      <c r="I100" s="37"/>
      <c r="J100" s="37" t="s">
        <v>209</v>
      </c>
      <c r="K100" s="37" t="s">
        <v>1374</v>
      </c>
      <c r="L100" s="37" t="s">
        <v>1313</v>
      </c>
      <c r="M100" s="37" t="s">
        <v>706</v>
      </c>
      <c r="N100" s="37" t="s">
        <v>745</v>
      </c>
      <c r="O100" s="37" t="s">
        <v>713</v>
      </c>
    </row>
    <row r="101" customFormat="false" ht="12.75" hidden="false" customHeight="true" outlineLevel="0" collapsed="false">
      <c r="A101" s="37" t="n">
        <v>100</v>
      </c>
      <c r="B101" s="37" t="s">
        <v>746</v>
      </c>
      <c r="C101" s="37" t="s">
        <v>308</v>
      </c>
      <c r="D101" s="37" t="s">
        <v>1529</v>
      </c>
      <c r="E101" s="38" t="s">
        <v>1530</v>
      </c>
      <c r="F101" s="37" t="s">
        <v>114</v>
      </c>
      <c r="G101" s="37" t="s">
        <v>367</v>
      </c>
      <c r="H101" s="37" t="n">
        <v>1</v>
      </c>
      <c r="I101" s="37"/>
      <c r="J101" s="37" t="s">
        <v>209</v>
      </c>
      <c r="K101" s="37" t="s">
        <v>1374</v>
      </c>
      <c r="L101" s="37" t="s">
        <v>1313</v>
      </c>
      <c r="M101" s="37" t="s">
        <v>706</v>
      </c>
      <c r="N101" s="37" t="s">
        <v>745</v>
      </c>
      <c r="O101" s="37" t="s">
        <v>739</v>
      </c>
    </row>
    <row r="102" customFormat="false" ht="12.75" hidden="false" customHeight="true" outlineLevel="0" collapsed="false">
      <c r="A102" s="37" t="n">
        <v>101</v>
      </c>
      <c r="B102" s="37" t="s">
        <v>751</v>
      </c>
      <c r="C102" s="37" t="s">
        <v>308</v>
      </c>
      <c r="D102" s="37" t="s">
        <v>1531</v>
      </c>
      <c r="E102" s="38" t="s">
        <v>1532</v>
      </c>
      <c r="F102" s="37" t="s">
        <v>114</v>
      </c>
      <c r="G102" s="37" t="s">
        <v>367</v>
      </c>
      <c r="H102" s="37" t="n">
        <v>3</v>
      </c>
      <c r="I102" s="37"/>
      <c r="J102" s="37" t="s">
        <v>209</v>
      </c>
      <c r="K102" s="37" t="s">
        <v>1364</v>
      </c>
      <c r="L102" s="37" t="s">
        <v>1313</v>
      </c>
      <c r="M102" s="37" t="s">
        <v>706</v>
      </c>
      <c r="N102" s="37" t="s">
        <v>757</v>
      </c>
      <c r="O102" s="37" t="s">
        <v>700</v>
      </c>
    </row>
    <row r="103" customFormat="false" ht="12.75" hidden="false" customHeight="true" outlineLevel="0" collapsed="false">
      <c r="A103" s="37" t="n">
        <v>102</v>
      </c>
      <c r="B103" s="37" t="s">
        <v>758</v>
      </c>
      <c r="C103" s="37" t="s">
        <v>308</v>
      </c>
      <c r="D103" s="37" t="s">
        <v>1533</v>
      </c>
      <c r="E103" s="38" t="s">
        <v>1534</v>
      </c>
      <c r="F103" s="37" t="s">
        <v>114</v>
      </c>
      <c r="G103" s="37" t="s">
        <v>367</v>
      </c>
      <c r="H103" s="37" t="n">
        <v>3</v>
      </c>
      <c r="I103" s="37"/>
      <c r="J103" s="37" t="s">
        <v>209</v>
      </c>
      <c r="K103" s="37" t="s">
        <v>1364</v>
      </c>
      <c r="L103" s="37" t="s">
        <v>1313</v>
      </c>
      <c r="M103" s="37" t="s">
        <v>706</v>
      </c>
      <c r="N103" s="37" t="s">
        <v>765</v>
      </c>
      <c r="O103" s="37" t="s">
        <v>1535</v>
      </c>
    </row>
    <row r="104" customFormat="false" ht="12.75" hidden="false" customHeight="true" outlineLevel="0" collapsed="false">
      <c r="A104" s="37" t="n">
        <v>103</v>
      </c>
      <c r="B104" s="37" t="s">
        <v>766</v>
      </c>
      <c r="C104" s="37" t="s">
        <v>308</v>
      </c>
      <c r="D104" s="37" t="s">
        <v>1536</v>
      </c>
      <c r="E104" s="38" t="s">
        <v>1537</v>
      </c>
      <c r="F104" s="37" t="s">
        <v>114</v>
      </c>
      <c r="G104" s="37" t="s">
        <v>772</v>
      </c>
      <c r="H104" s="37" t="n">
        <v>1</v>
      </c>
      <c r="I104" s="37"/>
      <c r="J104" s="37" t="s">
        <v>209</v>
      </c>
      <c r="K104" s="37" t="s">
        <v>1364</v>
      </c>
      <c r="L104" s="37" t="s">
        <v>1313</v>
      </c>
      <c r="M104" s="37" t="s">
        <v>706</v>
      </c>
      <c r="N104" s="37" t="s">
        <v>773</v>
      </c>
      <c r="O104" s="37" t="s">
        <v>603</v>
      </c>
    </row>
    <row r="105" customFormat="false" ht="12.75" hidden="false" customHeight="true" outlineLevel="0" collapsed="false">
      <c r="A105" s="37" t="n">
        <v>104</v>
      </c>
      <c r="B105" s="37" t="s">
        <v>774</v>
      </c>
      <c r="C105" s="37" t="s">
        <v>308</v>
      </c>
      <c r="D105" s="37" t="s">
        <v>1538</v>
      </c>
      <c r="E105" s="38" t="s">
        <v>1539</v>
      </c>
      <c r="F105" s="37" t="s">
        <v>114</v>
      </c>
      <c r="G105" s="37" t="s">
        <v>274</v>
      </c>
      <c r="H105" s="37" t="n">
        <v>3</v>
      </c>
      <c r="I105" s="37"/>
      <c r="J105" s="37" t="s">
        <v>209</v>
      </c>
      <c r="K105" s="37" t="s">
        <v>1364</v>
      </c>
      <c r="L105" s="37" t="s">
        <v>1313</v>
      </c>
      <c r="M105" s="37" t="s">
        <v>706</v>
      </c>
      <c r="N105" s="37" t="s">
        <v>733</v>
      </c>
      <c r="O105" s="37" t="s">
        <v>622</v>
      </c>
    </row>
    <row r="106" customFormat="false" ht="12.75" hidden="false" customHeight="true" outlineLevel="0" collapsed="false">
      <c r="A106" s="37" t="n">
        <v>105</v>
      </c>
      <c r="B106" s="37" t="s">
        <v>780</v>
      </c>
      <c r="C106" s="37" t="s">
        <v>308</v>
      </c>
      <c r="D106" s="37" t="s">
        <v>1540</v>
      </c>
      <c r="E106" s="38" t="s">
        <v>1541</v>
      </c>
      <c r="F106" s="37" t="s">
        <v>114</v>
      </c>
      <c r="G106" s="37" t="s">
        <v>274</v>
      </c>
      <c r="H106" s="37" t="n">
        <v>5</v>
      </c>
      <c r="I106" s="37"/>
      <c r="J106" s="37" t="s">
        <v>209</v>
      </c>
      <c r="K106" s="37" t="s">
        <v>1364</v>
      </c>
      <c r="L106" s="37" t="s">
        <v>1313</v>
      </c>
      <c r="M106" s="37" t="s">
        <v>706</v>
      </c>
      <c r="N106" s="37" t="s">
        <v>786</v>
      </c>
      <c r="O106" s="37" t="s">
        <v>603</v>
      </c>
    </row>
    <row r="107" customFormat="false" ht="12.75" hidden="false" customHeight="true" outlineLevel="0" collapsed="false">
      <c r="A107" s="37" t="n">
        <v>106</v>
      </c>
      <c r="B107" s="37" t="s">
        <v>787</v>
      </c>
      <c r="C107" s="37" t="s">
        <v>308</v>
      </c>
      <c r="D107" s="37" t="s">
        <v>1542</v>
      </c>
      <c r="E107" s="38" t="s">
        <v>1543</v>
      </c>
      <c r="F107" s="37" t="s">
        <v>114</v>
      </c>
      <c r="G107" s="37" t="s">
        <v>367</v>
      </c>
      <c r="H107" s="37" t="n">
        <v>2</v>
      </c>
      <c r="I107" s="37"/>
      <c r="J107" s="37" t="s">
        <v>209</v>
      </c>
      <c r="K107" s="37" t="s">
        <v>1364</v>
      </c>
      <c r="L107" s="37" t="s">
        <v>1313</v>
      </c>
      <c r="M107" s="37" t="s">
        <v>706</v>
      </c>
      <c r="N107" s="37" t="s">
        <v>793</v>
      </c>
      <c r="O107" s="37" t="s">
        <v>1544</v>
      </c>
    </row>
    <row r="108" customFormat="false" ht="12.75" hidden="false" customHeight="true" outlineLevel="0" collapsed="false">
      <c r="A108" s="37" t="n">
        <v>107</v>
      </c>
      <c r="B108" s="37" t="s">
        <v>794</v>
      </c>
      <c r="C108" s="37" t="s">
        <v>308</v>
      </c>
      <c r="D108" s="37" t="s">
        <v>1545</v>
      </c>
      <c r="E108" s="38" t="s">
        <v>1546</v>
      </c>
      <c r="F108" s="37" t="s">
        <v>114</v>
      </c>
      <c r="G108" s="37" t="s">
        <v>367</v>
      </c>
      <c r="H108" s="37" t="n">
        <v>5</v>
      </c>
      <c r="I108" s="37"/>
      <c r="J108" s="37" t="s">
        <v>209</v>
      </c>
      <c r="K108" s="37" t="s">
        <v>1364</v>
      </c>
      <c r="L108" s="37" t="s">
        <v>1313</v>
      </c>
      <c r="M108" s="37" t="s">
        <v>706</v>
      </c>
      <c r="N108" s="37" t="s">
        <v>801</v>
      </c>
      <c r="O108" s="37" t="s">
        <v>1547</v>
      </c>
    </row>
    <row r="109" customFormat="false" ht="12.75" hidden="false" customHeight="true" outlineLevel="0" collapsed="false">
      <c r="A109" s="37" t="n">
        <v>108</v>
      </c>
      <c r="B109" s="37" t="s">
        <v>802</v>
      </c>
      <c r="C109" s="37" t="s">
        <v>234</v>
      </c>
      <c r="D109" s="37" t="s">
        <v>1548</v>
      </c>
      <c r="E109" s="38" t="s">
        <v>1549</v>
      </c>
      <c r="F109" s="37" t="s">
        <v>114</v>
      </c>
      <c r="G109" s="37" t="s">
        <v>243</v>
      </c>
      <c r="H109" s="37" t="n">
        <v>8</v>
      </c>
      <c r="I109" s="37"/>
      <c r="J109" s="37" t="s">
        <v>212</v>
      </c>
      <c r="K109" s="37" t="s">
        <v>1364</v>
      </c>
      <c r="L109" s="37" t="s">
        <v>1313</v>
      </c>
      <c r="M109" s="37" t="s">
        <v>353</v>
      </c>
      <c r="N109" s="37" t="s">
        <v>809</v>
      </c>
      <c r="O109" s="37" t="s">
        <v>1550</v>
      </c>
    </row>
    <row r="110" customFormat="false" ht="12.75" hidden="false" customHeight="true" outlineLevel="0" collapsed="false">
      <c r="A110" s="37" t="n">
        <v>109</v>
      </c>
      <c r="B110" s="37" t="s">
        <v>810</v>
      </c>
      <c r="C110" s="37" t="s">
        <v>308</v>
      </c>
      <c r="D110" s="37" t="s">
        <v>1551</v>
      </c>
      <c r="E110" s="38" t="s">
        <v>1552</v>
      </c>
      <c r="F110" s="37" t="s">
        <v>114</v>
      </c>
      <c r="G110" s="37" t="s">
        <v>274</v>
      </c>
      <c r="H110" s="37" t="n">
        <v>2</v>
      </c>
      <c r="I110" s="37"/>
      <c r="J110" s="37" t="s">
        <v>212</v>
      </c>
      <c r="K110" s="37" t="s">
        <v>1364</v>
      </c>
      <c r="L110" s="37" t="s">
        <v>1313</v>
      </c>
      <c r="M110" s="37" t="s">
        <v>353</v>
      </c>
      <c r="N110" s="37" t="s">
        <v>816</v>
      </c>
      <c r="O110" s="37" t="s">
        <v>802</v>
      </c>
    </row>
    <row r="111" customFormat="false" ht="12.75" hidden="false" customHeight="true" outlineLevel="0" collapsed="false">
      <c r="A111" s="37" t="n">
        <v>110</v>
      </c>
      <c r="B111" s="37" t="s">
        <v>817</v>
      </c>
      <c r="C111" s="37" t="s">
        <v>308</v>
      </c>
      <c r="D111" s="37" t="s">
        <v>1553</v>
      </c>
      <c r="E111" s="38" t="s">
        <v>1554</v>
      </c>
      <c r="F111" s="37" t="s">
        <v>114</v>
      </c>
      <c r="G111" s="37" t="s">
        <v>274</v>
      </c>
      <c r="H111" s="37" t="n">
        <v>3</v>
      </c>
      <c r="I111" s="37"/>
      <c r="J111" s="37" t="s">
        <v>212</v>
      </c>
      <c r="K111" s="37" t="s">
        <v>1364</v>
      </c>
      <c r="L111" s="37" t="s">
        <v>1313</v>
      </c>
      <c r="M111" s="37" t="s">
        <v>353</v>
      </c>
      <c r="N111" s="37" t="s">
        <v>822</v>
      </c>
      <c r="O111" s="37" t="s">
        <v>802</v>
      </c>
    </row>
    <row r="112" customFormat="false" ht="12.75" hidden="false" customHeight="true" outlineLevel="0" collapsed="false">
      <c r="A112" s="37" t="n">
        <v>111</v>
      </c>
      <c r="B112" s="37" t="s">
        <v>823</v>
      </c>
      <c r="C112" s="37" t="s">
        <v>308</v>
      </c>
      <c r="D112" s="37" t="s">
        <v>1555</v>
      </c>
      <c r="E112" s="38" t="s">
        <v>1556</v>
      </c>
      <c r="F112" s="37" t="s">
        <v>114</v>
      </c>
      <c r="G112" s="37" t="s">
        <v>367</v>
      </c>
      <c r="H112" s="37" t="n">
        <v>1</v>
      </c>
      <c r="I112" s="37"/>
      <c r="J112" s="37" t="s">
        <v>212</v>
      </c>
      <c r="K112" s="37" t="s">
        <v>1364</v>
      </c>
      <c r="L112" s="37" t="s">
        <v>1313</v>
      </c>
      <c r="M112" s="37" t="s">
        <v>353</v>
      </c>
      <c r="N112" s="37" t="s">
        <v>816</v>
      </c>
      <c r="O112" s="37" t="s">
        <v>802</v>
      </c>
    </row>
    <row r="113" customFormat="false" ht="12.75" hidden="false" customHeight="true" outlineLevel="0" collapsed="false">
      <c r="A113" s="37" t="n">
        <v>112</v>
      </c>
      <c r="B113" s="37" t="s">
        <v>828</v>
      </c>
      <c r="C113" s="37" t="s">
        <v>308</v>
      </c>
      <c r="D113" s="37" t="s">
        <v>1557</v>
      </c>
      <c r="E113" s="38" t="s">
        <v>1558</v>
      </c>
      <c r="F113" s="37" t="s">
        <v>114</v>
      </c>
      <c r="G113" s="37" t="s">
        <v>367</v>
      </c>
      <c r="H113" s="37" t="n">
        <v>2</v>
      </c>
      <c r="I113" s="37"/>
      <c r="J113" s="37" t="s">
        <v>212</v>
      </c>
      <c r="K113" s="37" t="s">
        <v>1364</v>
      </c>
      <c r="L113" s="37" t="s">
        <v>1313</v>
      </c>
      <c r="M113" s="37" t="s">
        <v>353</v>
      </c>
      <c r="N113" s="37" t="s">
        <v>816</v>
      </c>
      <c r="O113" s="37" t="s">
        <v>802</v>
      </c>
    </row>
    <row r="114" customFormat="false" ht="12.75" hidden="false" customHeight="true" outlineLevel="0" collapsed="false">
      <c r="A114" s="37" t="n">
        <v>113</v>
      </c>
      <c r="B114" s="37" t="s">
        <v>833</v>
      </c>
      <c r="C114" s="37" t="s">
        <v>308</v>
      </c>
      <c r="D114" s="37" t="s">
        <v>1559</v>
      </c>
      <c r="E114" s="38" t="s">
        <v>1560</v>
      </c>
      <c r="F114" s="37" t="s">
        <v>114</v>
      </c>
      <c r="G114" s="37" t="s">
        <v>367</v>
      </c>
      <c r="H114" s="37" t="n">
        <v>2</v>
      </c>
      <c r="I114" s="37"/>
      <c r="J114" s="37" t="s">
        <v>212</v>
      </c>
      <c r="K114" s="37" t="s">
        <v>1364</v>
      </c>
      <c r="L114" s="37" t="s">
        <v>1313</v>
      </c>
      <c r="M114" s="37" t="s">
        <v>353</v>
      </c>
      <c r="N114" s="37" t="s">
        <v>816</v>
      </c>
      <c r="O114" s="37" t="s">
        <v>802</v>
      </c>
    </row>
    <row r="115" customFormat="false" ht="12.75" hidden="false" customHeight="true" outlineLevel="0" collapsed="false">
      <c r="A115" s="37" t="n">
        <v>114</v>
      </c>
      <c r="B115" s="37" t="s">
        <v>838</v>
      </c>
      <c r="C115" s="37" t="s">
        <v>308</v>
      </c>
      <c r="D115" s="37" t="s">
        <v>1561</v>
      </c>
      <c r="E115" s="38" t="s">
        <v>1562</v>
      </c>
      <c r="F115" s="37" t="s">
        <v>114</v>
      </c>
      <c r="G115" s="37" t="s">
        <v>772</v>
      </c>
      <c r="H115" s="37" t="n">
        <v>1</v>
      </c>
      <c r="I115" s="37"/>
      <c r="J115" s="37" t="s">
        <v>212</v>
      </c>
      <c r="K115" s="37" t="s">
        <v>1364</v>
      </c>
      <c r="L115" s="37" t="s">
        <v>1313</v>
      </c>
      <c r="M115" s="37" t="s">
        <v>353</v>
      </c>
      <c r="N115" s="37" t="s">
        <v>816</v>
      </c>
      <c r="O115" s="37" t="s">
        <v>802</v>
      </c>
    </row>
    <row r="116" customFormat="false" ht="12.75" hidden="false" customHeight="true" outlineLevel="0" collapsed="false">
      <c r="A116" s="37" t="n">
        <v>115</v>
      </c>
      <c r="B116" s="37" t="s">
        <v>841</v>
      </c>
      <c r="C116" s="37" t="s">
        <v>308</v>
      </c>
      <c r="D116" s="37" t="s">
        <v>1563</v>
      </c>
      <c r="E116" s="38" t="s">
        <v>1564</v>
      </c>
      <c r="F116" s="37" t="s">
        <v>114</v>
      </c>
      <c r="G116" s="37" t="s">
        <v>274</v>
      </c>
      <c r="H116" s="37" t="n">
        <v>3</v>
      </c>
      <c r="I116" s="37"/>
      <c r="J116" s="37" t="s">
        <v>212</v>
      </c>
      <c r="K116" s="37" t="s">
        <v>1364</v>
      </c>
      <c r="L116" s="37" t="s">
        <v>1313</v>
      </c>
      <c r="M116" s="37" t="s">
        <v>353</v>
      </c>
      <c r="N116" s="37" t="s">
        <v>847</v>
      </c>
      <c r="O116" s="37" t="s">
        <v>1565</v>
      </c>
    </row>
    <row r="117" customFormat="false" ht="12.75" hidden="false" customHeight="true" outlineLevel="0" collapsed="false">
      <c r="A117" s="37" t="n">
        <v>116</v>
      </c>
      <c r="B117" s="37" t="s">
        <v>848</v>
      </c>
      <c r="C117" s="37" t="s">
        <v>308</v>
      </c>
      <c r="D117" s="37" t="s">
        <v>1566</v>
      </c>
      <c r="E117" s="38" t="s">
        <v>1567</v>
      </c>
      <c r="F117" s="37" t="s">
        <v>114</v>
      </c>
      <c r="G117" s="37" t="s">
        <v>274</v>
      </c>
      <c r="H117" s="37" t="n">
        <v>3</v>
      </c>
      <c r="I117" s="37"/>
      <c r="J117" s="37" t="s">
        <v>212</v>
      </c>
      <c r="K117" s="37" t="s">
        <v>1364</v>
      </c>
      <c r="L117" s="37" t="s">
        <v>1313</v>
      </c>
      <c r="M117" s="37" t="s">
        <v>353</v>
      </c>
      <c r="N117" s="37" t="s">
        <v>853</v>
      </c>
      <c r="O117" s="37" t="s">
        <v>841</v>
      </c>
    </row>
    <row r="118" customFormat="false" ht="12.75" hidden="false" customHeight="true" outlineLevel="0" collapsed="false">
      <c r="A118" s="37" t="n">
        <v>117</v>
      </c>
      <c r="B118" s="37" t="s">
        <v>854</v>
      </c>
      <c r="C118" s="37" t="s">
        <v>308</v>
      </c>
      <c r="D118" s="37" t="s">
        <v>1568</v>
      </c>
      <c r="E118" s="38" t="s">
        <v>1569</v>
      </c>
      <c r="F118" s="37" t="s">
        <v>114</v>
      </c>
      <c r="G118" s="37" t="s">
        <v>274</v>
      </c>
      <c r="H118" s="37" t="n">
        <v>3</v>
      </c>
      <c r="I118" s="37"/>
      <c r="J118" s="37" t="s">
        <v>212</v>
      </c>
      <c r="K118" s="37" t="s">
        <v>1364</v>
      </c>
      <c r="L118" s="37" t="s">
        <v>1313</v>
      </c>
      <c r="M118" s="37" t="s">
        <v>353</v>
      </c>
      <c r="N118" s="37" t="s">
        <v>859</v>
      </c>
      <c r="O118" s="37" t="s">
        <v>817</v>
      </c>
    </row>
    <row r="119" customFormat="false" ht="12.75" hidden="false" customHeight="true" outlineLevel="0" collapsed="false">
      <c r="A119" s="37" t="n">
        <v>118</v>
      </c>
      <c r="B119" s="37" t="s">
        <v>860</v>
      </c>
      <c r="C119" s="37" t="s">
        <v>308</v>
      </c>
      <c r="D119" s="37" t="s">
        <v>1570</v>
      </c>
      <c r="E119" s="38" t="s">
        <v>1571</v>
      </c>
      <c r="F119" s="37" t="s">
        <v>114</v>
      </c>
      <c r="G119" s="37" t="s">
        <v>367</v>
      </c>
      <c r="H119" s="37" t="n">
        <v>5</v>
      </c>
      <c r="I119" s="37"/>
      <c r="J119" s="37" t="s">
        <v>212</v>
      </c>
      <c r="K119" s="37" t="s">
        <v>1364</v>
      </c>
      <c r="L119" s="37" t="s">
        <v>1313</v>
      </c>
      <c r="M119" s="37" t="s">
        <v>353</v>
      </c>
      <c r="N119" s="37" t="s">
        <v>867</v>
      </c>
      <c r="O119" s="37" t="s">
        <v>1572</v>
      </c>
    </row>
    <row r="120" customFormat="false" ht="12.75" hidden="false" customHeight="true" outlineLevel="0" collapsed="false">
      <c r="A120" s="37" t="n">
        <v>119</v>
      </c>
      <c r="B120" s="37" t="s">
        <v>868</v>
      </c>
      <c r="C120" s="37" t="s">
        <v>308</v>
      </c>
      <c r="D120" s="37" t="s">
        <v>1573</v>
      </c>
      <c r="E120" s="38" t="s">
        <v>1574</v>
      </c>
      <c r="F120" s="37" t="s">
        <v>114</v>
      </c>
      <c r="G120" s="37" t="s">
        <v>243</v>
      </c>
      <c r="H120" s="37" t="n">
        <v>5</v>
      </c>
      <c r="I120" s="37"/>
      <c r="J120" s="37" t="s">
        <v>215</v>
      </c>
      <c r="K120" s="37" t="s">
        <v>1404</v>
      </c>
      <c r="L120" s="37" t="s">
        <v>1313</v>
      </c>
      <c r="M120" s="37" t="s">
        <v>448</v>
      </c>
      <c r="N120" s="37" t="s">
        <v>874</v>
      </c>
      <c r="O120" s="37" t="s">
        <v>603</v>
      </c>
    </row>
    <row r="121" customFormat="false" ht="12.75" hidden="false" customHeight="true" outlineLevel="0" collapsed="false">
      <c r="A121" s="37" t="n">
        <v>120</v>
      </c>
      <c r="B121" s="37" t="s">
        <v>875</v>
      </c>
      <c r="C121" s="37" t="s">
        <v>308</v>
      </c>
      <c r="D121" s="37" t="s">
        <v>1575</v>
      </c>
      <c r="E121" s="38" t="s">
        <v>1576</v>
      </c>
      <c r="F121" s="37" t="s">
        <v>114</v>
      </c>
      <c r="G121" s="37" t="s">
        <v>367</v>
      </c>
      <c r="H121" s="37" t="n">
        <v>1</v>
      </c>
      <c r="I121" s="37"/>
      <c r="J121" s="37" t="s">
        <v>215</v>
      </c>
      <c r="K121" s="37" t="s">
        <v>1404</v>
      </c>
      <c r="L121" s="37" t="s">
        <v>1313</v>
      </c>
      <c r="M121" s="37" t="s">
        <v>448</v>
      </c>
      <c r="N121" s="37" t="s">
        <v>881</v>
      </c>
      <c r="O121" s="37" t="s">
        <v>1577</v>
      </c>
    </row>
    <row r="122" customFormat="false" ht="12.75" hidden="false" customHeight="true" outlineLevel="0" collapsed="false">
      <c r="A122" s="37" t="n">
        <v>121</v>
      </c>
      <c r="B122" s="37" t="s">
        <v>882</v>
      </c>
      <c r="C122" s="37" t="s">
        <v>308</v>
      </c>
      <c r="D122" s="37" t="s">
        <v>1578</v>
      </c>
      <c r="E122" s="38" t="s">
        <v>1579</v>
      </c>
      <c r="F122" s="37" t="s">
        <v>114</v>
      </c>
      <c r="G122" s="37" t="s">
        <v>367</v>
      </c>
      <c r="H122" s="37" t="n">
        <v>2</v>
      </c>
      <c r="I122" s="37"/>
      <c r="J122" s="37" t="s">
        <v>215</v>
      </c>
      <c r="K122" s="37" t="s">
        <v>1404</v>
      </c>
      <c r="L122" s="37" t="s">
        <v>1313</v>
      </c>
      <c r="M122" s="37" t="s">
        <v>448</v>
      </c>
      <c r="N122" s="37" t="s">
        <v>887</v>
      </c>
      <c r="O122" s="37" t="s">
        <v>868</v>
      </c>
    </row>
    <row r="123" customFormat="false" ht="12.75" hidden="false" customHeight="true" outlineLevel="0" collapsed="false">
      <c r="A123" s="37" t="n">
        <v>122</v>
      </c>
      <c r="B123" s="37" t="s">
        <v>888</v>
      </c>
      <c r="C123" s="37" t="s">
        <v>308</v>
      </c>
      <c r="D123" s="37" t="s">
        <v>1580</v>
      </c>
      <c r="E123" s="38" t="s">
        <v>1581</v>
      </c>
      <c r="F123" s="37" t="s">
        <v>114</v>
      </c>
      <c r="G123" s="37" t="s">
        <v>367</v>
      </c>
      <c r="H123" s="37" t="n">
        <v>3</v>
      </c>
      <c r="I123" s="37"/>
      <c r="J123" s="37" t="s">
        <v>215</v>
      </c>
      <c r="K123" s="37" t="s">
        <v>1404</v>
      </c>
      <c r="L123" s="37" t="s">
        <v>1313</v>
      </c>
      <c r="M123" s="37" t="s">
        <v>448</v>
      </c>
      <c r="N123" s="37" t="s">
        <v>894</v>
      </c>
      <c r="O123" s="37" t="s">
        <v>1582</v>
      </c>
    </row>
    <row r="124" customFormat="false" ht="12.75" hidden="false" customHeight="true" outlineLevel="0" collapsed="false">
      <c r="A124" s="37" t="n">
        <v>123</v>
      </c>
      <c r="B124" s="37" t="s">
        <v>895</v>
      </c>
      <c r="C124" s="37" t="s">
        <v>308</v>
      </c>
      <c r="D124" s="37" t="s">
        <v>1583</v>
      </c>
      <c r="E124" s="38" t="s">
        <v>1584</v>
      </c>
      <c r="F124" s="37" t="s">
        <v>114</v>
      </c>
      <c r="G124" s="37" t="s">
        <v>274</v>
      </c>
      <c r="H124" s="37" t="n">
        <v>5</v>
      </c>
      <c r="I124" s="37"/>
      <c r="J124" s="37" t="s">
        <v>215</v>
      </c>
      <c r="K124" s="37" t="s">
        <v>1404</v>
      </c>
      <c r="L124" s="37" t="s">
        <v>1313</v>
      </c>
      <c r="M124" s="37" t="s">
        <v>448</v>
      </c>
      <c r="N124" s="37" t="s">
        <v>901</v>
      </c>
      <c r="O124" s="37" t="s">
        <v>868</v>
      </c>
    </row>
    <row r="125" customFormat="false" ht="12.75" hidden="false" customHeight="true" outlineLevel="0" collapsed="false">
      <c r="A125" s="37" t="n">
        <v>124</v>
      </c>
      <c r="B125" s="37" t="s">
        <v>902</v>
      </c>
      <c r="C125" s="37" t="s">
        <v>308</v>
      </c>
      <c r="D125" s="37" t="s">
        <v>1585</v>
      </c>
      <c r="E125" s="38" t="s">
        <v>1586</v>
      </c>
      <c r="F125" s="37" t="s">
        <v>114</v>
      </c>
      <c r="G125" s="37" t="s">
        <v>274</v>
      </c>
      <c r="H125" s="37" t="n">
        <v>5</v>
      </c>
      <c r="I125" s="37"/>
      <c r="J125" s="37" t="s">
        <v>215</v>
      </c>
      <c r="K125" s="37" t="s">
        <v>1404</v>
      </c>
      <c r="L125" s="37" t="s">
        <v>1313</v>
      </c>
      <c r="M125" s="37" t="s">
        <v>448</v>
      </c>
      <c r="N125" s="37" t="s">
        <v>908</v>
      </c>
      <c r="O125" s="37" t="s">
        <v>1587</v>
      </c>
    </row>
    <row r="126" customFormat="false" ht="12.75" hidden="false" customHeight="true" outlineLevel="0" collapsed="false">
      <c r="A126" s="37" t="n">
        <v>125</v>
      </c>
      <c r="B126" s="37" t="s">
        <v>909</v>
      </c>
      <c r="C126" s="37" t="s">
        <v>308</v>
      </c>
      <c r="D126" s="37" t="s">
        <v>1588</v>
      </c>
      <c r="E126" s="38" t="s">
        <v>1589</v>
      </c>
      <c r="F126" s="37" t="s">
        <v>114</v>
      </c>
      <c r="G126" s="37" t="s">
        <v>274</v>
      </c>
      <c r="H126" s="37" t="n">
        <v>3</v>
      </c>
      <c r="I126" s="37"/>
      <c r="J126" s="37" t="s">
        <v>215</v>
      </c>
      <c r="K126" s="37" t="s">
        <v>1404</v>
      </c>
      <c r="L126" s="37" t="s">
        <v>1313</v>
      </c>
      <c r="M126" s="37" t="s">
        <v>448</v>
      </c>
      <c r="N126" s="37" t="s">
        <v>901</v>
      </c>
      <c r="O126" s="37" t="s">
        <v>1590</v>
      </c>
    </row>
    <row r="127" customFormat="false" ht="12.75" hidden="false" customHeight="true" outlineLevel="0" collapsed="false">
      <c r="A127" s="37" t="n">
        <v>126</v>
      </c>
      <c r="B127" s="37" t="s">
        <v>915</v>
      </c>
      <c r="C127" s="37" t="s">
        <v>308</v>
      </c>
      <c r="D127" s="37" t="s">
        <v>1591</v>
      </c>
      <c r="E127" s="38" t="s">
        <v>1592</v>
      </c>
      <c r="F127" s="37" t="s">
        <v>114</v>
      </c>
      <c r="G127" s="37" t="s">
        <v>243</v>
      </c>
      <c r="H127" s="37" t="n">
        <v>3</v>
      </c>
      <c r="I127" s="37"/>
      <c r="J127" s="37" t="s">
        <v>215</v>
      </c>
      <c r="K127" s="37" t="s">
        <v>1404</v>
      </c>
      <c r="L127" s="37" t="s">
        <v>1313</v>
      </c>
      <c r="M127" s="37" t="s">
        <v>448</v>
      </c>
      <c r="N127" s="37" t="s">
        <v>921</v>
      </c>
      <c r="O127" s="37" t="s">
        <v>1593</v>
      </c>
    </row>
    <row r="128" customFormat="false" ht="12.75" hidden="false" customHeight="true" outlineLevel="0" collapsed="false">
      <c r="A128" s="37" t="n">
        <v>127</v>
      </c>
      <c r="B128" s="37" t="s">
        <v>922</v>
      </c>
      <c r="C128" s="37" t="s">
        <v>308</v>
      </c>
      <c r="D128" s="37" t="s">
        <v>1594</v>
      </c>
      <c r="E128" s="38" t="s">
        <v>1595</v>
      </c>
      <c r="F128" s="37" t="s">
        <v>114</v>
      </c>
      <c r="G128" s="37" t="s">
        <v>274</v>
      </c>
      <c r="H128" s="37" t="n">
        <v>3</v>
      </c>
      <c r="I128" s="37"/>
      <c r="J128" s="37" t="s">
        <v>215</v>
      </c>
      <c r="K128" s="37" t="s">
        <v>1404</v>
      </c>
      <c r="L128" s="37" t="s">
        <v>1313</v>
      </c>
      <c r="M128" s="37" t="s">
        <v>448</v>
      </c>
      <c r="N128" s="37" t="s">
        <v>928</v>
      </c>
      <c r="O128" s="37" t="s">
        <v>915</v>
      </c>
    </row>
    <row r="129" customFormat="false" ht="12.75" hidden="false" customHeight="true" outlineLevel="0" collapsed="false">
      <c r="A129" s="37" t="n">
        <v>128</v>
      </c>
      <c r="B129" s="37" t="s">
        <v>929</v>
      </c>
      <c r="C129" s="37" t="s">
        <v>308</v>
      </c>
      <c r="D129" s="37" t="s">
        <v>1596</v>
      </c>
      <c r="E129" s="38" t="s">
        <v>1597</v>
      </c>
      <c r="F129" s="37" t="s">
        <v>114</v>
      </c>
      <c r="G129" s="37" t="s">
        <v>274</v>
      </c>
      <c r="H129" s="37" t="n">
        <v>3</v>
      </c>
      <c r="I129" s="37"/>
      <c r="J129" s="37" t="s">
        <v>215</v>
      </c>
      <c r="K129" s="37" t="s">
        <v>1404</v>
      </c>
      <c r="L129" s="37" t="s">
        <v>1313</v>
      </c>
      <c r="M129" s="37" t="s">
        <v>448</v>
      </c>
      <c r="N129" s="37" t="s">
        <v>928</v>
      </c>
      <c r="O129" s="37" t="s">
        <v>1598</v>
      </c>
    </row>
    <row r="130" customFormat="false" ht="12.75" hidden="false" customHeight="true" outlineLevel="0" collapsed="false">
      <c r="A130" s="37" t="n">
        <v>129</v>
      </c>
      <c r="B130" s="37" t="s">
        <v>935</v>
      </c>
      <c r="C130" s="37" t="s">
        <v>308</v>
      </c>
      <c r="D130" s="37" t="s">
        <v>1599</v>
      </c>
      <c r="E130" s="38" t="s">
        <v>1600</v>
      </c>
      <c r="F130" s="37" t="s">
        <v>114</v>
      </c>
      <c r="G130" s="37" t="s">
        <v>772</v>
      </c>
      <c r="H130" s="37" t="n">
        <v>1</v>
      </c>
      <c r="I130" s="37"/>
      <c r="J130" s="37" t="s">
        <v>215</v>
      </c>
      <c r="K130" s="37" t="s">
        <v>1404</v>
      </c>
      <c r="L130" s="37" t="s">
        <v>1313</v>
      </c>
      <c r="M130" s="37" t="s">
        <v>448</v>
      </c>
      <c r="N130" s="37" t="s">
        <v>928</v>
      </c>
      <c r="O130" s="37" t="s">
        <v>922</v>
      </c>
    </row>
    <row r="131" customFormat="false" ht="12.75" hidden="false" customHeight="true" outlineLevel="0" collapsed="false">
      <c r="A131" s="37" t="n">
        <v>130</v>
      </c>
      <c r="B131" s="37" t="s">
        <v>940</v>
      </c>
      <c r="C131" s="37" t="s">
        <v>308</v>
      </c>
      <c r="D131" s="37" t="s">
        <v>1601</v>
      </c>
      <c r="E131" s="38" t="s">
        <v>1602</v>
      </c>
      <c r="F131" s="37" t="s">
        <v>114</v>
      </c>
      <c r="G131" s="37" t="s">
        <v>274</v>
      </c>
      <c r="H131" s="37" t="n">
        <v>2</v>
      </c>
      <c r="I131" s="37"/>
      <c r="J131" s="37" t="s">
        <v>215</v>
      </c>
      <c r="K131" s="37" t="s">
        <v>1404</v>
      </c>
      <c r="L131" s="37" t="s">
        <v>1313</v>
      </c>
      <c r="M131" s="37" t="s">
        <v>448</v>
      </c>
      <c r="N131" s="37" t="s">
        <v>946</v>
      </c>
      <c r="O131" s="37" t="s">
        <v>1603</v>
      </c>
    </row>
    <row r="132" customFormat="false" ht="12.75" hidden="false" customHeight="true" outlineLevel="0" collapsed="false">
      <c r="A132" s="37" t="n">
        <v>131</v>
      </c>
      <c r="B132" s="37" t="s">
        <v>947</v>
      </c>
      <c r="C132" s="37" t="s">
        <v>308</v>
      </c>
      <c r="D132" s="37" t="s">
        <v>1604</v>
      </c>
      <c r="E132" s="38" t="s">
        <v>1605</v>
      </c>
      <c r="F132" s="37" t="s">
        <v>114</v>
      </c>
      <c r="G132" s="37" t="s">
        <v>274</v>
      </c>
      <c r="H132" s="37" t="n">
        <v>5</v>
      </c>
      <c r="I132" s="37"/>
      <c r="J132" s="37" t="s">
        <v>215</v>
      </c>
      <c r="K132" s="37" t="s">
        <v>1404</v>
      </c>
      <c r="L132" s="37" t="s">
        <v>1313</v>
      </c>
      <c r="M132" s="37" t="s">
        <v>448</v>
      </c>
      <c r="N132" s="37" t="s">
        <v>952</v>
      </c>
      <c r="O132" s="37" t="s">
        <v>1598</v>
      </c>
    </row>
    <row r="133" customFormat="false" ht="12.75" hidden="false" customHeight="true" outlineLevel="0" collapsed="false">
      <c r="A133" s="37" t="n">
        <v>132</v>
      </c>
      <c r="B133" s="37" t="s">
        <v>953</v>
      </c>
      <c r="C133" s="37" t="s">
        <v>308</v>
      </c>
      <c r="D133" s="37" t="s">
        <v>1606</v>
      </c>
      <c r="E133" s="38" t="s">
        <v>1607</v>
      </c>
      <c r="F133" s="37" t="s">
        <v>114</v>
      </c>
      <c r="G133" s="37" t="s">
        <v>772</v>
      </c>
      <c r="H133" s="37" t="n">
        <v>1</v>
      </c>
      <c r="I133" s="37"/>
      <c r="J133" s="37" t="s">
        <v>215</v>
      </c>
      <c r="K133" s="37" t="s">
        <v>1404</v>
      </c>
      <c r="L133" s="37" t="s">
        <v>1313</v>
      </c>
      <c r="M133" s="37" t="s">
        <v>448</v>
      </c>
      <c r="N133" s="37" t="s">
        <v>928</v>
      </c>
      <c r="O133" s="37" t="s">
        <v>922</v>
      </c>
    </row>
    <row r="134" customFormat="false" ht="12.75" hidden="false" customHeight="true" outlineLevel="0" collapsed="false">
      <c r="A134" s="37" t="n">
        <v>133</v>
      </c>
      <c r="B134" s="37" t="s">
        <v>958</v>
      </c>
      <c r="C134" s="37" t="s">
        <v>308</v>
      </c>
      <c r="D134" s="37" t="s">
        <v>1608</v>
      </c>
      <c r="E134" s="38" t="s">
        <v>1609</v>
      </c>
      <c r="F134" s="37" t="s">
        <v>114</v>
      </c>
      <c r="G134" s="37" t="s">
        <v>367</v>
      </c>
      <c r="H134" s="37" t="n">
        <v>2</v>
      </c>
      <c r="I134" s="37"/>
      <c r="J134" s="37" t="s">
        <v>215</v>
      </c>
      <c r="K134" s="37" t="s">
        <v>1404</v>
      </c>
      <c r="L134" s="37" t="s">
        <v>1313</v>
      </c>
      <c r="M134" s="37" t="s">
        <v>448</v>
      </c>
      <c r="N134" s="37" t="s">
        <v>963</v>
      </c>
      <c r="O134" s="37" t="s">
        <v>922</v>
      </c>
    </row>
    <row r="135" customFormat="false" ht="12.75" hidden="false" customHeight="true" outlineLevel="0" collapsed="false">
      <c r="A135" s="37" t="n">
        <v>134</v>
      </c>
      <c r="B135" s="37" t="s">
        <v>964</v>
      </c>
      <c r="C135" s="37" t="s">
        <v>308</v>
      </c>
      <c r="D135" s="37" t="s">
        <v>1610</v>
      </c>
      <c r="E135" s="38" t="s">
        <v>1611</v>
      </c>
      <c r="F135" s="37" t="s">
        <v>114</v>
      </c>
      <c r="G135" s="37" t="s">
        <v>367</v>
      </c>
      <c r="H135" s="37" t="n">
        <v>2</v>
      </c>
      <c r="I135" s="37"/>
      <c r="J135" s="37" t="s">
        <v>215</v>
      </c>
      <c r="K135" s="37" t="s">
        <v>1404</v>
      </c>
      <c r="L135" s="37" t="s">
        <v>1313</v>
      </c>
      <c r="M135" s="37" t="s">
        <v>448</v>
      </c>
      <c r="N135" s="37" t="s">
        <v>969</v>
      </c>
      <c r="O135" s="37" t="s">
        <v>922</v>
      </c>
    </row>
    <row r="136" customFormat="false" ht="12.75" hidden="false" customHeight="true" outlineLevel="0" collapsed="false">
      <c r="A136" s="37" t="n">
        <v>135</v>
      </c>
      <c r="B136" s="37" t="s">
        <v>970</v>
      </c>
      <c r="C136" s="37" t="s">
        <v>308</v>
      </c>
      <c r="D136" s="37" t="s">
        <v>1612</v>
      </c>
      <c r="E136" s="38" t="s">
        <v>1613</v>
      </c>
      <c r="F136" s="37" t="s">
        <v>114</v>
      </c>
      <c r="G136" s="37" t="s">
        <v>367</v>
      </c>
      <c r="H136" s="37" t="n">
        <v>3</v>
      </c>
      <c r="I136" s="37"/>
      <c r="J136" s="37" t="s">
        <v>215</v>
      </c>
      <c r="K136" s="37" t="s">
        <v>1404</v>
      </c>
      <c r="L136" s="37" t="s">
        <v>1313</v>
      </c>
      <c r="M136" s="37" t="s">
        <v>448</v>
      </c>
      <c r="N136" s="37" t="s">
        <v>976</v>
      </c>
      <c r="O136" s="37" t="s">
        <v>1614</v>
      </c>
    </row>
    <row r="137" customFormat="false" ht="12.75" hidden="false" customHeight="true" outlineLevel="0" collapsed="false">
      <c r="A137" s="37" t="n">
        <v>136</v>
      </c>
      <c r="B137" s="37" t="s">
        <v>977</v>
      </c>
      <c r="C137" s="37" t="s">
        <v>308</v>
      </c>
      <c r="D137" s="37" t="s">
        <v>1615</v>
      </c>
      <c r="E137" s="38" t="s">
        <v>1616</v>
      </c>
      <c r="F137" s="37" t="s">
        <v>114</v>
      </c>
      <c r="G137" s="37" t="s">
        <v>274</v>
      </c>
      <c r="H137" s="37" t="n">
        <v>3</v>
      </c>
      <c r="I137" s="37"/>
      <c r="J137" s="37" t="s">
        <v>215</v>
      </c>
      <c r="K137" s="37" t="s">
        <v>1404</v>
      </c>
      <c r="L137" s="37" t="s">
        <v>1313</v>
      </c>
      <c r="M137" s="37" t="s">
        <v>448</v>
      </c>
      <c r="N137" s="37" t="s">
        <v>983</v>
      </c>
      <c r="O137" s="37" t="s">
        <v>1617</v>
      </c>
    </row>
    <row r="138" customFormat="false" ht="12.75" hidden="false" customHeight="true" outlineLevel="0" collapsed="false">
      <c r="A138" s="37" t="n">
        <v>137</v>
      </c>
      <c r="B138" s="37" t="s">
        <v>984</v>
      </c>
      <c r="C138" s="37" t="s">
        <v>308</v>
      </c>
      <c r="D138" s="37" t="s">
        <v>1618</v>
      </c>
      <c r="E138" s="38" t="s">
        <v>1619</v>
      </c>
      <c r="F138" s="37" t="s">
        <v>114</v>
      </c>
      <c r="G138" s="37" t="s">
        <v>367</v>
      </c>
      <c r="H138" s="37" t="n">
        <v>2</v>
      </c>
      <c r="I138" s="37"/>
      <c r="J138" s="37" t="s">
        <v>215</v>
      </c>
      <c r="K138" s="37" t="s">
        <v>1404</v>
      </c>
      <c r="L138" s="37" t="s">
        <v>1313</v>
      </c>
      <c r="M138" s="37" t="s">
        <v>448</v>
      </c>
      <c r="N138" s="37" t="s">
        <v>990</v>
      </c>
      <c r="O138" s="37" t="s">
        <v>1620</v>
      </c>
    </row>
    <row r="139" customFormat="false" ht="12.75" hidden="false" customHeight="true" outlineLevel="0" collapsed="false">
      <c r="A139" s="37" t="n">
        <v>138</v>
      </c>
      <c r="B139" s="37" t="s">
        <v>991</v>
      </c>
      <c r="C139" s="37" t="s">
        <v>308</v>
      </c>
      <c r="D139" s="37" t="s">
        <v>1621</v>
      </c>
      <c r="E139" s="38" t="s">
        <v>1622</v>
      </c>
      <c r="F139" s="37" t="s">
        <v>114</v>
      </c>
      <c r="G139" s="37" t="s">
        <v>274</v>
      </c>
      <c r="H139" s="37" t="n">
        <v>5</v>
      </c>
      <c r="I139" s="37"/>
      <c r="J139" s="37" t="s">
        <v>215</v>
      </c>
      <c r="K139" s="37" t="s">
        <v>1404</v>
      </c>
      <c r="L139" s="37" t="s">
        <v>1313</v>
      </c>
      <c r="M139" s="37" t="s">
        <v>448</v>
      </c>
      <c r="N139" s="37" t="s">
        <v>997</v>
      </c>
      <c r="O139" s="37" t="s">
        <v>1623</v>
      </c>
    </row>
    <row r="140" customFormat="false" ht="12.75" hidden="false" customHeight="true" outlineLevel="0" collapsed="false">
      <c r="A140" s="37" t="n">
        <v>139</v>
      </c>
      <c r="B140" s="37" t="s">
        <v>998</v>
      </c>
      <c r="C140" s="37" t="s">
        <v>308</v>
      </c>
      <c r="D140" s="37" t="s">
        <v>1624</v>
      </c>
      <c r="E140" s="38" t="s">
        <v>1625</v>
      </c>
      <c r="F140" s="37" t="s">
        <v>114</v>
      </c>
      <c r="G140" s="37" t="s">
        <v>274</v>
      </c>
      <c r="H140" s="37" t="n">
        <v>3</v>
      </c>
      <c r="I140" s="37"/>
      <c r="J140" s="37" t="s">
        <v>215</v>
      </c>
      <c r="K140" s="37" t="s">
        <v>1404</v>
      </c>
      <c r="L140" s="37" t="s">
        <v>1313</v>
      </c>
      <c r="M140" s="37" t="s">
        <v>448</v>
      </c>
      <c r="N140" s="37" t="s">
        <v>1005</v>
      </c>
      <c r="O140" s="37" t="s">
        <v>1626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2026-09-04T23:27:52Z</dcterms:created>
  <dc:creator>openpyxl</dc:creator>
  <dc:description/>
  <dc:language>en-US</dc:language>
  <cp:lastModifiedBy/>
  <dcterms:modified xsi:type="dcterms:W3CDTF">2026-09-04T23:27:53Z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