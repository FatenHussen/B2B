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Epics" sheetId="2" state="visible" r:id="rId4"/>
    <sheet name="Backlog" sheetId="3" state="visible" r:id="rId5"/>
    <sheet name="Roadmap" sheetId="4" state="visible" r:id="rId6"/>
    <sheet name="Dependencies" sheetId="5" state="visible" r:id="rId7"/>
    <sheet name="Business Rules" sheetId="6" state="visible" r:id="rId8"/>
    <sheet name="Acceptance Criteria" sheetId="7" state="visible" r:id="rId9"/>
    <sheet name="Data Model" sheetId="8" state="visible" r:id="rId10"/>
    <sheet name="Events" sheetId="9" state="visible" r:id="rId11"/>
    <sheet name="Risks" sheetId="10" state="visible" r:id="rId12"/>
    <sheet name="Jira Import" sheetId="11" state="visible" r:id="rId13"/>
  </sheets>
  <definedNames>
    <definedName function="false" hidden="false" localSheetId="6" name="_xlnm.Print_Titles" vbProcedure="false">'Acceptance Criteria'!$1:$1</definedName>
    <definedName function="false" hidden="false" localSheetId="2" name="_xlnm.Print_Titles" vbProcedure="false">Backlog!$1:$1</definedName>
    <definedName function="false" hidden="true" localSheetId="2" name="_xlnm._FilterDatabase" vbProcedure="false">Backlog!$A$1:$O$47</definedName>
    <definedName function="false" hidden="false" localSheetId="5" name="_xlnm.Print_Titles" vbProcedure="false">'Business Rules'!$1:$1</definedName>
    <definedName function="false" hidden="false" localSheetId="7" name="_xlnm.Print_Titles" vbProcedure="false">'Data Model'!$1:$1</definedName>
    <definedName function="false" hidden="false" localSheetId="4" name="_xlnm.Print_Titles" vbProcedure="false">Dependencies!$1:$1</definedName>
    <definedName function="false" hidden="true" localSheetId="4" name="_xlnm._FilterDatabase" vbProcedure="false">Dependencies!$A$1:$H$67</definedName>
    <definedName function="false" hidden="false" localSheetId="1" name="_xlnm.Print_Titles" vbProcedure="false">Epics!$1:$1</definedName>
    <definedName function="false" hidden="false" localSheetId="8" name="_xlnm.Print_Titles" vbProcedure="false">Events!$1:$1</definedName>
    <definedName function="false" hidden="false" localSheetId="10" name="_xlnm.Print_Titles" vbProcedure="false">'Jira Import'!$1:$1</definedName>
    <definedName function="false" hidden="false" localSheetId="9" name="_xlnm.Print_Titles" vbProcedure="false">Risks!$1:$1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<sst xmlns="http://schemas.openxmlformats.org/spreadsheetml/2006/main" count="2304" uniqueCount="761">
  <si>
    <t xml:space="preserve">Layer 2 — the commercial core</t>
  </si>
  <si>
    <t xml:space="preserve">Sprints 5 to 8 in DOC-02. Catalog, pricing engine, promotion engine, cart and order submission, plus the retailer commerce screens and the channel commerce console.</t>
  </si>
  <si>
    <t xml:space="preserve">This layer in one line</t>
  </si>
  <si>
    <t xml:space="preserve">Deliverable</t>
  </si>
  <si>
    <t xml:space="preserve">A retailer sees a real price and sends a real order that reaches the right channel.</t>
  </si>
  <si>
    <t xml:space="preserve">Sprints</t>
  </si>
  <si>
    <t xml:space="preserve">SP-05, SP-06, SP-07, SP-08  (DOC-02 §23)</t>
  </si>
  <si>
    <t xml:space="preserve">Depends on</t>
  </si>
  <si>
    <t xml:space="preserve">Layer 1 (L1-frontend-backlog.xlsx and L1-backend-backlog.xlsx) — identity, access, reference data and tenancy.</t>
  </si>
  <si>
    <t xml:space="preserve">Followed by</t>
  </si>
  <si>
    <t xml:space="preserve">Layer 3 (L3-field-operations-backlog.xlsx) — inventory, warehouse, rep delivery, returns, finance and offline sync.</t>
  </si>
  <si>
    <t xml:space="preserve">Read this first</t>
  </si>
  <si>
    <t xml:space="preserve">Nothing in this layer works without Layer 1. The catalog needs reference data and tenancy; the pricing engine needs zones and currencies; the order inbox needs channel users and permissions.</t>
  </si>
  <si>
    <t xml:space="preserve">Contents</t>
  </si>
  <si>
    <t xml:space="preserve">Epics</t>
  </si>
  <si>
    <t xml:space="preserve">The epics of this layer with their volume and sprints.</t>
  </si>
  <si>
    <t xml:space="preserve">Backlog</t>
  </si>
  <si>
    <t xml:space="preserve">Every issue in this layer, backend and frontend, with full requirements and acceptance criteria readable in place.</t>
  </si>
  <si>
    <t xml:space="preserve">Roadmap</t>
  </si>
  <si>
    <t xml:space="preserve">Points by sprint and side, and by unit. All figures are live formulas over the Backlog sheet.</t>
  </si>
  <si>
    <t xml:space="preserve">Dependencies</t>
  </si>
  <si>
    <t xml:space="preserve">One row per blocking link, including links reaching back into earlier layers.</t>
  </si>
  <si>
    <t xml:space="preserve">Business Rules</t>
  </si>
  <si>
    <t xml:space="preserve">BR-01…BR-20 and REQ-IN-01…08 with the enforcing issue. Rules delivered in this layer are highlighted.</t>
  </si>
  <si>
    <t xml:space="preserve">Acceptance Criteria</t>
  </si>
  <si>
    <t xml:space="preserve">AC-01…AC-10 from DOC-06 §9.1 with the issues that satisfy each, flagged for this layer.</t>
  </si>
  <si>
    <t xml:space="preserve">Data Model</t>
  </si>
  <si>
    <t xml:space="preserve">The tables this layer creates.</t>
  </si>
  <si>
    <t xml:space="preserve">Events</t>
  </si>
  <si>
    <t xml:space="preserve">Inter-module events, with the ones this layer delivers highlighted.</t>
  </si>
  <si>
    <t xml:space="preserve">Risks</t>
  </si>
  <si>
    <t xml:space="preserve">The risks that bite in this layer, with the mitigating issue.</t>
  </si>
  <si>
    <t xml:space="preserve">Jira Import</t>
  </si>
  <si>
    <t xml:space="preserve">Flat machine-readable sheet. Save this tab alone as CSV UTF-8 and import.</t>
  </si>
  <si>
    <t xml:space="preserve">Contract status — read before importing</t>
  </si>
  <si>
    <t xml:space="preserve">The gap</t>
  </si>
  <si>
    <t xml:space="preserve">Layer 1 issues carried real EP-IDs because the five frontend briefs named them. The API catalog itself was never provided, so no issue in this workbook carries an endpoint identifier.</t>
  </si>
  <si>
    <t xml:space="preserve">What this means</t>
  </si>
  <si>
    <t xml:space="preserve">Every issue states behaviour, requirements and acceptance criteria, all traceable to a source document. None states a path. The path must come from the catalog before the issue is pulled.</t>
  </si>
  <si>
    <t xml:space="preserve">The rule to keep</t>
  </si>
  <si>
    <t xml:space="preserve">No ticket without a contract. Importing is fine; starting an issue while its Contract column reads Proposed is not.</t>
  </si>
  <si>
    <t xml:space="preserve">Definition of done — applies to every issue</t>
  </si>
  <si>
    <t xml:space="preserve">1.</t>
  </si>
  <si>
    <t xml:space="preserve">Merged after peer review; Larastan level 6, Pint and Rector pass; Deptrac and the architecture suite pass.</t>
  </si>
  <si>
    <t xml:space="preserve">2.</t>
  </si>
  <si>
    <t xml:space="preserve">Unit and feature tests green: 90%+ on engines and money paths, 75%+ on endpoints, permissions and isolation.</t>
  </si>
  <si>
    <t xml:space="preserve">3.</t>
  </si>
  <si>
    <t xml:space="preserve">Every write carries X-Idempotency-Key unless it is on the documented exemption list.</t>
  </si>
  <si>
    <t xml:space="preserve">4.</t>
  </si>
  <si>
    <t xml:space="preserve">Every channel endpoint has an isolation test proving another channel receives 404.</t>
  </si>
  <si>
    <t xml:space="preserve">5.</t>
  </si>
  <si>
    <t xml:space="preserve">All amounts, limits and rates are integers; no float exists on any money path.</t>
  </si>
  <si>
    <t xml:space="preserve">6.</t>
  </si>
  <si>
    <t xml:space="preserve">Every state transition goes through the lifecycle service and is logged with actor and reason.</t>
  </si>
  <si>
    <t xml:space="preserve">7.</t>
  </si>
  <si>
    <t xml:space="preserve">Errors follow the unified envelope and the HTTP status map.</t>
  </si>
  <si>
    <t xml:space="preserve">8.</t>
  </si>
  <si>
    <t xml:space="preserve">Mobile work functions correctly with the network disconnected and syncs without loss or duplication.</t>
  </si>
  <si>
    <t xml:space="preserve">9.</t>
  </si>
  <si>
    <t xml:space="preserve">The OpenAPI document is regenerated and the typed client still builds.</t>
  </si>
  <si>
    <t xml:space="preserve">10.</t>
  </si>
  <si>
    <t xml:space="preserve">Deployed to the test environment and accepted by the product owner.</t>
  </si>
  <si>
    <t xml:space="preserve">Totals</t>
  </si>
  <si>
    <t xml:space="preserve">Issues in this layer</t>
  </si>
  <si>
    <t xml:space="preserve">Points in this layer</t>
  </si>
  <si>
    <t xml:space="preserve">Backend issues</t>
  </si>
  <si>
    <t xml:space="preserve">Frontend issues</t>
  </si>
  <si>
    <t xml:space="preserve">Blocking links</t>
  </si>
  <si>
    <t xml:space="preserve">66</t>
  </si>
  <si>
    <t xml:space="preserve">Tables created</t>
  </si>
  <si>
    <t xml:space="preserve">21</t>
  </si>
  <si>
    <t xml:space="preserve">Epic key</t>
  </si>
  <si>
    <t xml:space="preserve">Epic name</t>
  </si>
  <si>
    <t xml:space="preserve">Covers</t>
  </si>
  <si>
    <t xml:space="preserve">Issues</t>
  </si>
  <si>
    <t xml:space="preserve">Points</t>
  </si>
  <si>
    <t xml:space="preserve">EP-L2-CAT</t>
  </si>
  <si>
    <t xml:space="preserve">Catalog</t>
  </si>
  <si>
    <t xml:space="preserve">Brands, five-level category tree, products, variants, media, import</t>
  </si>
  <si>
    <t xml:space="preserve">SP-05, SP-06</t>
  </si>
  <si>
    <t xml:space="preserve">EP-L2-PRC</t>
  </si>
  <si>
    <t xml:space="preserve">Pricing engine</t>
  </si>
  <si>
    <t xml:space="preserve">Five-rule precedence, tiers, zone and group prices, change log, price freeze</t>
  </si>
  <si>
    <t xml:space="preserve">SP-06, SP-07</t>
  </si>
  <si>
    <t xml:space="preserve">EP-L2-PRM</t>
  </si>
  <si>
    <t xml:space="preserve">Promotion engine</t>
  </si>
  <si>
    <t xml:space="preserve">Six offer types, targeting, quota, cart evaluation, indivisibility</t>
  </si>
  <si>
    <t xml:space="preserve">SP-07</t>
  </si>
  <si>
    <t xml:space="preserve">EP-L2-ORD</t>
  </si>
  <si>
    <t xml:space="preserve">Cart and order submission</t>
  </si>
  <si>
    <t xml:space="preserve">Cart, multi-channel split, sub-orders, state machine, channel inbox</t>
  </si>
  <si>
    <t xml:space="preserve">SP-07, SP-08</t>
  </si>
  <si>
    <t xml:space="preserve">EP-L2-FE-RT</t>
  </si>
  <si>
    <t xml:space="preserve">Retailer commerce screens</t>
  </si>
  <si>
    <t xml:space="preserve">Home, browse paths, product, offer, brand, cart, my orders</t>
  </si>
  <si>
    <t xml:space="preserve">SP-06, SP-07, SP-08</t>
  </si>
  <si>
    <t xml:space="preserve">EP-L2-FE-CH</t>
  </si>
  <si>
    <t xml:space="preserve">Channel commerce console</t>
  </si>
  <si>
    <t xml:space="preserve">Catalog admin, pricing, offers, order inbox and detail</t>
  </si>
  <si>
    <t xml:space="preserve">SP-05, SP-06, SP-07, SP-08</t>
  </si>
  <si>
    <t xml:space="preserve">Key</t>
  </si>
  <si>
    <t xml:space="preserve">Side</t>
  </si>
  <si>
    <t xml:space="preserve">Unit</t>
  </si>
  <si>
    <t xml:space="preserve">Title</t>
  </si>
  <si>
    <t xml:space="preserve">Epic</t>
  </si>
  <si>
    <t xml:space="preserve">Sprint</t>
  </si>
  <si>
    <t xml:space="preserve">Tables</t>
  </si>
  <si>
    <t xml:space="preserve">Requirements</t>
  </si>
  <si>
    <t xml:space="preserve">Acceptance criteria</t>
  </si>
  <si>
    <t xml:space="preserve">Out of scope</t>
  </si>
  <si>
    <t xml:space="preserve">Priority</t>
  </si>
  <si>
    <t xml:space="preserve">Blocked by</t>
  </si>
  <si>
    <t xml:space="preserve">Contract</t>
  </si>
  <si>
    <t xml:space="preserve">BE2-CAT01</t>
  </si>
  <si>
    <t xml:space="preserve">Backend</t>
  </si>
  <si>
    <t xml:space="preserve">Brands</t>
  </si>
  <si>
    <t xml:space="preserve">SP-05</t>
  </si>
  <si>
    <t xml:space="preserve">brands</t>
  </si>
  <si>
    <t xml:space="preserve">—</t>
  </si>
  <si>
    <t xml:space="preserve">1. Name in Arabic and English unique within the channel, logo (minimum 512x512), page banner, short description up to 300 characters.
2. Multiple activities per brand, display order, and an enable flag that hides the brand and its products without deleting them.
3. Brand page sliders configured as name plus source plus count plus order.</t>
  </si>
  <si>
    <t xml:space="preserve">☐  Disabling a brand removes it and its products from both apps while preserving every record.
☐  Brand name uniqueness is enforced per channel by a database constraint.</t>
  </si>
  <si>
    <t xml:space="preserve">Nothing beyond the epic scope.</t>
  </si>
  <si>
    <t xml:space="preserve">Highest</t>
  </si>
  <si>
    <t xml:space="preserve">BE-T02</t>
  </si>
  <si>
    <t xml:space="preserve">Proposed</t>
  </si>
  <si>
    <t xml:space="preserve">BE2-CAT02</t>
  </si>
  <si>
    <t xml:space="preserve">Five-level category tree</t>
  </si>
  <si>
    <t xml:space="preserve">categories</t>
  </si>
  <si>
    <t xml:space="preserve">1. Materialised path plus parent_id, with a hard maximum depth of five levels enforced server side.
2. Drag and drop reordering and moving between levels, applied transactionally.
3. A category holding active products cannot be disabled until they are moved or disabled, and the count is returned with the refusal.
4. Category to activity-type binding decides visibility for each retailer.</t>
  </si>
  <si>
    <t xml:space="preserve">☐  Creating a sixth level is refused with a clear message, not silently truncated.
☐  A live counter shows direct and total product counts per node.
☐  Reordering a subtree of 500 nodes stays within the interactive budget.</t>
  </si>
  <si>
    <t xml:space="preserve">BE2-CAT01, BE-R05</t>
  </si>
  <si>
    <t xml:space="preserve">BE2-CAT03</t>
  </si>
  <si>
    <t xml:space="preserve">Products</t>
  </si>
  <si>
    <t xml:space="preserve">products</t>
  </si>
  <si>
    <t xml:space="preserve">1. All DOC-01 §4.2.3 tabs: basics, description, media, sale and packaging, pricing type, inventory, availability, variants, marketing.
2. SKU and barcode unique per channel with duplicate detection on entry.
3. Availability is the intersection of zones, activities and retailer groups (BR-15).
4. Soft delete only; disabling hides the product from both apps.</t>
  </si>
  <si>
    <t xml:space="preserve">☐  A duplicate SKU is caught at entry, not at save.
☐  A product outside the retailer zone never appears in any list or search result.</t>
  </si>
  <si>
    <t xml:space="preserve">BE2-CAT04</t>
  </si>
  <si>
    <t xml:space="preserve">Variants and combination generation</t>
  </si>
  <si>
    <t xml:space="preserve">product_variants</t>
  </si>
  <si>
    <t xml:space="preserve">1. Define variant axes and values, then generate every combination with the ability to delete ones that do not exist.
2. Each combination has its own SKU, price override or inherited price, stock balance, image and barcode.
3. A cart line binds to the variant id, never to the product id.</t>
  </si>
  <si>
    <t xml:space="preserve">☐  Adding two variants of one product to the cart produces two independent lines.
☐  Deleting a non-existent combination does not affect the others.</t>
  </si>
  <si>
    <t xml:space="preserve">High</t>
  </si>
  <si>
    <t xml:space="preserve">BE2-CAT05</t>
  </si>
  <si>
    <t xml:space="preserve">Media library and image processing</t>
  </si>
  <si>
    <t xml:space="preserve">product_media</t>
  </si>
  <si>
    <t xml:space="preserve">1. Multiple images with a primary flag and ordering, optional video.
2. Automatic compression and multi-size generation to serve low-end devices on 3G (REQ-CM-043).
3. Processing runs on the media queue, never inside the request.</t>
  </si>
  <si>
    <t xml:space="preserve">☐  A product card request transfers a thumbnail, not the original file.
☐  An upload never blocks the response.</t>
  </si>
  <si>
    <t xml:space="preserve">BE2-CAT03, BE-X03</t>
  </si>
  <si>
    <t xml:space="preserve">BE2-CAT06</t>
  </si>
  <si>
    <t xml:space="preserve">Catalog import and export</t>
  </si>
  <si>
    <t xml:space="preserve">import_batches</t>
  </si>
  <si>
    <t xml:space="preserve">1. Excel import with a published template, a preview before saving, and a per-row error report.
2. Full or filtered export.
3. Bulk edit of category, brand, status, zones or a price percentage for a selected set.
4. Duplicate detection on SKU and barcode during import.</t>
  </si>
  <si>
    <t xml:space="preserve">☐  A file of 10,000 rows imports without timing out, on a queue.
☐  A partially invalid file reports every bad row and imports nothing until confirmed.</t>
  </si>
  <si>
    <t xml:space="preserve">BE2-CAT03, BE-R11</t>
  </si>
  <si>
    <t xml:space="preserve">BE2-CAT07</t>
  </si>
  <si>
    <t xml:space="preserve">Retailer and rep catalog read API</t>
  </si>
  <si>
    <t xml:space="preserve">SP-06</t>
  </si>
  <si>
    <t xml:space="preserve">1. List and detail endpoints filtered by zone, activity and retailer group in one query (BR-15).
2. Card payloads are minimal for mobile; detail is fetched on demand (DOC-02 §9).
3. Cursor pagination, not offset, for long lists.
4. Bulk price resolution for the whole page in one call to avoid N+1.</t>
  </si>
  <si>
    <t xml:space="preserve">☐  A 60-item page issues one pricing call, not sixty.
☐  The retailer never receives a numeric stock quantity, only a logical availability state (BR-14).</t>
  </si>
  <si>
    <t xml:space="preserve">BE2-CAT03, BE2-PRC03</t>
  </si>
  <si>
    <t xml:space="preserve">BE2-CAT08</t>
  </si>
  <si>
    <t xml:space="preserve">Text and barcode search</t>
  </si>
  <si>
    <t xml:space="preserve">1. Arabic text search across product, brand and category with tolerance for common spelling variants.
2. Exact barcode lookup returning the variant directly.
3. Search respects the same three-way filter as the listing.</t>
  </si>
  <si>
    <t xml:space="preserve">☐  A barcode scan resolves to one variant or a clear not-found.
☐  Search never returns a product the retailer cannot be delivered.</t>
  </si>
  <si>
    <t xml:space="preserve">BE2-PRC01</t>
  </si>
  <si>
    <t xml:space="preserve">Pricing</t>
  </si>
  <si>
    <t xml:space="preserve">Price lists and rule types</t>
  </si>
  <si>
    <t xml:space="preserve">price_lists, price_rules</t>
  </si>
  <si>
    <t xml:space="preserve">1. Five rule types: fixed base price, quantity tiers, zone list, retailer-group list, retailer-specific agreement.
2. Every list carries an effective-from and effective-to date and supports a scheduled future change applied automatically.
3. All values are integers in the smallest currency unit.</t>
  </si>
  <si>
    <t xml:space="preserve">☐  A scheduled change activates without human action at its effective time.
☐  No float exists anywhere on the pricing path.</t>
  </si>
  <si>
    <t xml:space="preserve">BE2-CAT03, BE-C06</t>
  </si>
  <si>
    <t xml:space="preserve">BE2-PRC02</t>
  </si>
  <si>
    <t xml:space="preserve">Quantity tiers</t>
  </si>
  <si>
    <t xml:space="preserve">qty_tiers</t>
  </si>
  <si>
    <t xml:space="preserve">1. Tiers defined as min and max quantity with a unit price, validated to be contiguous and non-overlapping.
2. The card shows the highest price, which is the price of the smallest quantity, with a quantity-based marker.
3. The detail page shows the full from-to range and recomputes live as quantity and variant change.</t>
  </si>
  <si>
    <t xml:space="preserve">☐  Overlapping tiers are refused at save.
☐  The card price always equals the lowest tier quantity price.</t>
  </si>
  <si>
    <t xml:space="preserve">BE2-PRC03</t>
  </si>
  <si>
    <t xml:space="preserve">Pricing engine with rule precedence</t>
  </si>
  <si>
    <t xml:space="preserve">1. A pure service taking a context and returning a price, with no knowledge of HTTP or session (DOC-02 §11).
2. Precedence: retailer price, then group price, then zone price, then quantity tier, then base price. Search stops at the first matching effective rule.
3. Every result carries the applied rule id so any price can be explained and audited.
4. Bulk resolve for a full list in one query, with a cache keyed on the whole context and invalidated on any price or product change.</t>
  </si>
  <si>
    <t xml:space="preserve">☐  Unit test coverage of the engine is at least 90 percent, including every precedence collision.
☐  Two retailers in different zones receive different correct prices for the same product (DOC-04 §8).
☐  The applied rule id is present on every returned price.</t>
  </si>
  <si>
    <t xml:space="preserve">BE2-PRC01, BE2-PRC02</t>
  </si>
  <si>
    <t xml:space="preserve">BE2-PRC04</t>
  </si>
  <si>
    <t xml:space="preserve">Price change log and controls</t>
  </si>
  <si>
    <t xml:space="preserve">price_change_log</t>
  </si>
  <si>
    <t xml:space="preserve">1. Record who changed what, from what to what, when and why, with the reason mandatory.
2. The price-change permission is separate from the catalog-management permission.
3. A rep discount cap at invoice level that the system refuses to exceed, with every use recorded (BR-12).</t>
  </si>
  <si>
    <t xml:space="preserve">☐  A price change without a reason is refused.
☐  A rep cannot exceed the cap through any path including a direct API call.</t>
  </si>
  <si>
    <t xml:space="preserve">BE2-PRC01, BE-C04</t>
  </si>
  <si>
    <t xml:space="preserve">BE2-PRC05</t>
  </si>
  <si>
    <t xml:space="preserve">Price freeze on the order</t>
  </si>
  <si>
    <t xml:space="preserve">1. The unit price, currency and applied rule id are copied onto the order line at submission (BR-04).
2. A later price-list change never affects a live order.
3. An offline-created order is repriced on the server at intake with the difference reported to the user (REQ-CM-018).</t>
  </si>
  <si>
    <t xml:space="preserve">☐  Changing a price list after submission leaves the order total unchanged, proven by test.
☐  A repriced offline order shows the retailer the delta before confirmation.</t>
  </si>
  <si>
    <t xml:space="preserve">BE2-PRC03, BE2-ORD03</t>
  </si>
  <si>
    <t xml:space="preserve">BE2-PRM01</t>
  </si>
  <si>
    <t xml:space="preserve">Promotion</t>
  </si>
  <si>
    <t xml:space="preserve">Offer types</t>
  </si>
  <si>
    <t xml:space="preserve">offers, offer_rules, offer_rewards</t>
  </si>
  <si>
    <t xml:space="preserve">1. Six types: product discount, invoice discount, buy X get Y, bundle, tiered discount, free gift or sample.
2. A free gift is recorded at zero value and still deducted from stock.
3. An invoice discount applies only to the portion belonging to that channel within a multi-channel order (BR-09).</t>
  </si>
  <si>
    <t xml:space="preserve">☐  Each of the six types has its own calculation test on a realistic cart.
☐  A bundle cannot be partially added or partially removed.</t>
  </si>
  <si>
    <t xml:space="preserve">BE2-PRM02</t>
  </si>
  <si>
    <t xml:space="preserve">Targeting and constraints</t>
  </si>
  <si>
    <t xml:space="preserve">offer_targets</t>
  </si>
  <si>
    <t xml:space="preserve">1. Target all, an activity type, one or more zones, a retailer group or a specific retailer, combinable with AND.
2. Start and end datetime, total quota, per-retailer cap and per-order cap.
3. Minimum invoice value or item count to activate.
4. Combinability flag with another offer or with an invoice discount, plus a numeric priority for conflicts.</t>
  </si>
  <si>
    <t xml:space="preserve">☐  A retailer outside the target never sees the offer in any list.
☐  The remaining-quota counter is accurate under concurrent carts.</t>
  </si>
  <si>
    <t xml:space="preserve">BE2-PRM03</t>
  </si>
  <si>
    <t xml:space="preserve">Cart evaluation engine</t>
  </si>
  <si>
    <t xml:space="preserve">offer_usages</t>
  </si>
  <si>
    <t xml:space="preserve">1. Operates on the whole cart, not a single line, because conditional offers need to see every item (DOC-02 §12).
2. Three phases: collect eligible offers, evaluate conditions, apply rewards in priority order.
3. Rewards are added as separate cart lines marked as offer-generated and not manually editable.
4. Re-evaluate on every cart change and again immediately before confirmation.</t>
  </si>
  <si>
    <t xml:space="preserve">☐  Buy 3 get 1 applies automatically and is computed correctly on the final invoice (DOC-01 §8).
☐  Reducing quantity below the threshold removes the offer with a notice before confirmation.</t>
  </si>
  <si>
    <t xml:space="preserve">BE2-PRM02, BE2-ORD01</t>
  </si>
  <si>
    <t xml:space="preserve">BE2-PRM04</t>
  </si>
  <si>
    <t xml:space="preserve">Indivisibility and quota reservation</t>
  </si>
  <si>
    <t xml:space="preserve">1. Every line generated by one offer carries a shared promotion group id; removing any removes the whole group (BR-08).
2. Offer quota is reserved alongside stock at confirmation to prevent overshoot.
3. An expired or exhausted offer is removed from unsent carts with a notice before confirmation (BR-20).</t>
  </si>
  <si>
    <t xml:space="preserve">☐  Deleting one bundle line deletes every line of that bundle in one operation.
☐  Two simultaneous carts cannot consume the same last unit of quota.</t>
  </si>
  <si>
    <t xml:space="preserve">BE2-PRM05</t>
  </si>
  <si>
    <t xml:space="preserve">Offer performance report</t>
  </si>
  <si>
    <t xml:space="preserve">1. Applications count, associated sales value, discount granted and net margin.
2. Beneficiary retailers and their zone distribution, and a view-to-use conversion rate.</t>
  </si>
  <si>
    <t xml:space="preserve">☐  Every figure traces back to the underlying order lines.</t>
  </si>
  <si>
    <t xml:space="preserve">Medium</t>
  </si>
  <si>
    <t xml:space="preserve">BE2-ORD01</t>
  </si>
  <si>
    <t xml:space="preserve">Ordering</t>
  </si>
  <si>
    <t xml:space="preserve">Cart model</t>
  </si>
  <si>
    <t xml:space="preserve">carts, cart_lines</t>
  </si>
  <si>
    <t xml:space="preserve">1. One cart per retailer, internally sectioned by supply channel with an independent note per section.
2. A line binds to a variant id and carries quantity, resolved price and any offer group id.
3. The cart is held server side and mirrored locally on the device so it survives app closure (BR-07).</t>
  </si>
  <si>
    <t xml:space="preserve">☐  A cart with items from three channels shows three sections with three subtotals.
☐  Closing and reopening the app restores the cart intact.</t>
  </si>
  <si>
    <t xml:space="preserve">BE2-ORD02</t>
  </si>
  <si>
    <t xml:space="preserve">Cart totals and discount rules</t>
  </si>
  <si>
    <t xml:space="preserve">1. Product-level discount shown on the line as before and after.
2. Invoice-level discount applied per channel section under that channel conditions.
3. Summary returns subtotal, discount, final total and an estimated collection date.</t>
  </si>
  <si>
    <t xml:space="preserve">☐  The channel name is absent from every cart response before confirmation (BR-02).
☐  Totals recomputed on the server match the client display exactly.</t>
  </si>
  <si>
    <t xml:space="preserve">BE2-ORD01, BE2-PRM03</t>
  </si>
  <si>
    <t xml:space="preserve">BE2-ORD03</t>
  </si>
  <si>
    <t xml:space="preserve">Order submission and multi-channel split</t>
  </si>
  <si>
    <t xml:space="preserve">orders, sub_orders, order_lines</t>
  </si>
  <si>
    <t xml:space="preserve">1. Submission splits the cart on the server into independent sub-orders, one per channel, each with its own number and route (BR-01, REQ-IN-08).
2. Price freeze, offer quota reservation and number generation happen inside one database transaction.
3. The retailer sees one order; each channel sees only its own part.
4. The whole operation is idempotent on the submission key.</t>
  </si>
  <si>
    <t xml:space="preserve">☐  A three-channel order produces exactly three sub-orders and one retailer-facing order.
☐  A retried submission after a dropped connection creates no duplicate.
☐  A channel querying the order sees only its own lines, never the others.</t>
  </si>
  <si>
    <t xml:space="preserve">BE2-ORD02, BE-C03</t>
  </si>
  <si>
    <t xml:space="preserve">BE2-ORD04</t>
  </si>
  <si>
    <t xml:space="preserve">Sub-order state machine</t>
  </si>
  <si>
    <t xml:space="preserve">SP-08</t>
  </si>
  <si>
    <t xml:space="preserve">order_events</t>
  </si>
  <si>
    <t xml:space="preserve">1. Nine states and the explicit transition matrix from DOC-01 §4.6.3.
2. Retailer cancellation is permitted only in the pending state (BR-06); after confirmation it requires the channel.
3. Each transition runs through one action owning all of its side effects, and emits one event.
4. Every transition is logged with actor, reason and time.</t>
  </si>
  <si>
    <t xml:space="preserve">☐  A disallowed transition returns 409 illegal_transition.
☐  The retailer cancel button is impossible to use after confirmation, server side.</t>
  </si>
  <si>
    <t xml:space="preserve">BE2-ORD03, BE-C07</t>
  </si>
  <si>
    <t xml:space="preserve">BE2-ORD05</t>
  </si>
  <si>
    <t xml:space="preserve">Channel order inbox</t>
  </si>
  <si>
    <t xml:space="preserve">1. Default view: pending sub-orders sorted oldest first and grouped by zone.
2. Filters on zone, status, retailer, rep, brand, date range, value range and source.
3. A waiting-time field so the UI can flag orders past the configured threshold.</t>
  </si>
  <si>
    <t xml:space="preserve">☐  A channel sees only its own sub-orders under every filter combination.
☐  The list stays within the interactive budget at 5,000 orders per day.</t>
  </si>
  <si>
    <t xml:space="preserve">BE2-ORD06</t>
  </si>
  <si>
    <t xml:space="preserve">Bulk confirm, reject and schedule</t>
  </si>
  <si>
    <t xml:space="preserve">SubOrderConfirmed</t>
  </si>
  <si>
    <t xml:space="preserve">1. Confirm, reject or schedule many sub-orders in one call with a per-order result.
2. Confirmation reserves stock and emits SubOrderConfirmed (BR-05).
3. Editing a quantity or removing a line before confirmation requires a reason and notifies the retailer.</t>
  </si>
  <si>
    <t xml:space="preserve">☐  Fifty orders are confirmed and assigned in under two minutes end to end (DOC-01 §8).
☐  A failure on one order does not roll back the rest.</t>
  </si>
  <si>
    <t xml:space="preserve">BE2-ORD07</t>
  </si>
  <si>
    <t xml:space="preserve">Order detail and timeline</t>
  </si>
  <si>
    <t xml:space="preserve">1. Header, line table with availability per line, financial summary, retailer note and a full event timeline.
2. Printing endpoints for the picking order and the invoice.</t>
  </si>
  <si>
    <t xml:space="preserve">☐  Every state change appears in the timeline with its actor.
☐  The financial summary reconciles to the sum of the lines exactly.</t>
  </si>
  <si>
    <t xml:space="preserve">BE2-ORD08</t>
  </si>
  <si>
    <t xml:space="preserve">Retailer order list and detail API</t>
  </si>
  <si>
    <t xml:space="preserve">1. Filter by all, active, pending, in progress, delivered, cancelled, and by channel.
2. The channel name appears only after confirmation; the rep identity only at on_the_way (BR-02, BR-03, REQ-IN-06).
3. Withholding happens in the resource layer, not in the client.</t>
  </si>
  <si>
    <t xml:space="preserve">☐  An API inspection before confirmation shows no channel identity anywhere in the payload.
☐  The rep name and phone are absent until the state is on_the_way.</t>
  </si>
  <si>
    <t xml:space="preserve">FE2-RT01</t>
  </si>
  <si>
    <t xml:space="preserve">Frontend</t>
  </si>
  <si>
    <t xml:space="preserve">Retailer app</t>
  </si>
  <si>
    <t xml:space="preserve">Home header, search and status bar</t>
  </si>
  <si>
    <t xml:space="preserve">1. Personal greeting, shop name and zone, connection state in three colours, notifications, favourites and manual sync.
2. Search by text, voice and barcode with an advanced filter entry point.
3. The whole header works from local cache when offline.</t>
  </si>
  <si>
    <t xml:space="preserve">☐  The connection indicator changes within two seconds of a state change.
☐  Barcode scanning adds directly to the cart or the shortages list.</t>
  </si>
  <si>
    <t xml:space="preserve">RT-14, BE2-CAT07</t>
  </si>
  <si>
    <t xml:space="preserve">FE2-RT02</t>
  </si>
  <si>
    <t xml:space="preserve">Home banner and sliders</t>
  </si>
  <si>
    <t xml:space="preserve">1. Main banner supporting image, video or GIF with an internal or external link, a date window and activity targeting.
2. Category block up to five levels filtered by the retailer own categories.
3. Offer slider and brand slider, both filtered by activity type.</t>
  </si>
  <si>
    <t xml:space="preserve">☐  Stored content renders offline with a staleness note.
☐  A banner outside its date window never renders.</t>
  </si>
  <si>
    <t xml:space="preserve">FE2-RT03</t>
  </si>
  <si>
    <t xml:space="preserve">Four action buttons block</t>
  </si>
  <si>
    <t xml:space="preserve">1. Order, reorder, record shortages and record payment as four large buttons.
2. This block is the practical entry point to everything the retailer does daily.</t>
  </si>
  <si>
    <t xml:space="preserve">☐  Reaching the cart from home takes at most three taps (AC-02).</t>
  </si>
  <si>
    <t xml:space="preserve">FE2-RT04</t>
  </si>
  <si>
    <t xml:space="preserve">Statistics cards</t>
  </si>
  <si>
    <t xml:space="preserve">1. Order count, total debt and today deliveries, each opening its detail.
2. Offline shows last-sync figures with the sync time stated.</t>
  </si>
  <si>
    <t xml:space="preserve">☐  A stale figure is never shown without its timestamp.</t>
  </si>
  <si>
    <t xml:space="preserve">FE2-RT05</t>
  </si>
  <si>
    <t xml:space="preserve">Five browse paths</t>
  </si>
  <si>
    <t xml:space="preserve">1. Shortages, favourites, by brand, by root category, all products.
2. Adding from shortages asks for a quantity and then removes the item from the shortages list.</t>
  </si>
  <si>
    <t xml:space="preserve">☐  Each path reaches the cart without leaving the flow.
☐  The shortages list shrinks as items are added.</t>
  </si>
  <si>
    <t xml:space="preserve">FE2-RT03, BE2-CAT07</t>
  </si>
  <si>
    <t xml:space="preserve">FE2-RT06</t>
  </si>
  <si>
    <t xml:space="preserve">Product card</t>
  </si>
  <si>
    <t xml:space="preserve">1. Image, name, brand, sale unit, minimum order, price, discount, sold count, availability, lead time, rating, favourite and offer icon.
2. Quantity-based pricing shows the smallest-quantity price with an explicit marker.
3. Price and availability appear on the card itself, never one screen deeper.</t>
  </si>
  <si>
    <t xml:space="preserve">☐  The card renders offline with the last price-update date shown.
☐  No numeric stock quantity appears anywhere on the card.</t>
  </si>
  <si>
    <t xml:space="preserve">BE2-CAT07, BE2-PRC03</t>
  </si>
  <si>
    <t xml:space="preserve">FE2-RT07</t>
  </si>
  <si>
    <t xml:space="preserve">Product detail page</t>
  </si>
  <si>
    <t xml:space="preserve">1. Images, description, specification table, variants, and four sliders including price comparison with similar products.
2. Variants bind to the cart independently, with the requested count shown above each variant.
3. The price updates live as quantity and variant change.</t>
  </si>
  <si>
    <t xml:space="preserve">☐  Two variants can be added with different quantities as two separate lines.
☐  The from-to range is shown for quantity-based pricing.</t>
  </si>
  <si>
    <t xml:space="preserve">FE2-RT08</t>
  </si>
  <si>
    <t xml:space="preserve">Offer card and offer page</t>
  </si>
  <si>
    <t xml:space="preserve">1. Card with identity, components, before and after price, and urgency counters: end date, days left, quantity left, sold count.
2. Detail page with components, icons, add to cart with quantity, and related sliders.</t>
  </si>
  <si>
    <t xml:space="preserve">☐  Counters are server values, never client estimates.
☐  An expired offer is not addable and says why.</t>
  </si>
  <si>
    <t xml:space="preserve">FE2-RT09</t>
  </si>
  <si>
    <t xml:space="preserve">Brand card and brand page</t>
  </si>
  <si>
    <t xml:space="preserve">1. Card with logo, name and activities; page with header banner, profile, category strip, sliders and show-all.</t>
  </si>
  <si>
    <t xml:space="preserve">☐  The page renders from cache when offline.</t>
  </si>
  <si>
    <t xml:space="preserve">FE2-RT10</t>
  </si>
  <si>
    <t xml:space="preserve">Cart screen</t>
  </si>
  <si>
    <t xml:space="preserve">1. Sectioned by supply channel, each section with its own order number, supplier field, note field and subtotal.
2. Line shows thumbnail, name, brand, quantity, attributes, unit, price, discount and net; delete only while pending.
3. Invoice summary with total, discount, final amount and collection date, plus an optional scheduled date.
4. The cart is held locally so it survives app closure before submission.</t>
  </si>
  <si>
    <t xml:space="preserve">☐  The channel name is not rendered anywhere before confirmation.
☐  Closing the app before submission loses nothing.
☐  Deleting one line of an offer removes the whole offer group.</t>
  </si>
  <si>
    <t xml:space="preserve">FE2-RT11</t>
  </si>
  <si>
    <t xml:space="preserve">Submission and success screen</t>
  </si>
  <si>
    <t xml:space="preserve">1. Confirm and send with one idempotency key per confirm tap.
2. Success screen with the order number, a track button and a return-home button; the cart empties automatically.
3. Offline submission is accepted and queued with a pending-sync state.</t>
  </si>
  <si>
    <t xml:space="preserve">☐  A dropped connection and retry never sends the order twice (AC-05).
☐  The cart is empty immediately after a successful submission (BR-07).</t>
  </si>
  <si>
    <t xml:space="preserve">FE2-RT10, BE2-ORD03</t>
  </si>
  <si>
    <t xml:space="preserve">FE2-RT12</t>
  </si>
  <si>
    <t xml:space="preserve">My orders screen</t>
  </si>
  <si>
    <t xml:space="preserve">1. Filters across six statuses and by channel; each row shows number, date, channel, status, total, reorder and cancel.
2. Cancel is offered only in the pending state.
3. Tapping a row opens the full order and invoice detail.</t>
  </si>
  <si>
    <t xml:space="preserve">☐  The cancel control is absent, not merely disabled, after confirmation.
☐  The list works from cache offline.</t>
  </si>
  <si>
    <t xml:space="preserve">FE2-CH01</t>
  </si>
  <si>
    <t xml:space="preserve">Channel dashboard</t>
  </si>
  <si>
    <t xml:space="preserve">Channel shell and dashboard</t>
  </si>
  <si>
    <t xml:space="preserve">1. Indicator cards with a selectable period, an actionable alert panel and the charts from DOC-01 §4.1.
2. Every card and every chart column is clickable and opens the corresponding filtered list.
3. A figure is never shown without a route to its detail.</t>
  </si>
  <si>
    <t xml:space="preserve">☐  Every KPI drills through to the underlying documents.
☐  The alert panel lists overdue pending orders with a bulk confirm action.</t>
  </si>
  <si>
    <t xml:space="preserve">CH-05, BE2-ORD05</t>
  </si>
  <si>
    <t xml:space="preserve">FE2-CH02</t>
  </si>
  <si>
    <t xml:space="preserve">Brand and category admin</t>
  </si>
  <si>
    <t xml:space="preserve">1. Brand CRUD with media and page-slider configuration.
2. A drag-and-drop category tree with a hard five-level cap and live product counters.
3. Disabling refused while active products remain, with the count shown.</t>
  </si>
  <si>
    <t xml:space="preserve">☐  A sixth level cannot be created through the UI or by a direct call.
☐  Reordering persists and survives a reload.</t>
  </si>
  <si>
    <t xml:space="preserve">FE2-CH03</t>
  </si>
  <si>
    <t xml:space="preserve">Product editor</t>
  </si>
  <si>
    <t xml:space="preserve">1. Tabbed form matching the backend field set, to keep cognitive load down.
2. Variant axis editor with combination generation and per-combination price, stock, image and barcode.
3. Duplicate SKU and barcode warnings inline.</t>
  </si>
  <si>
    <t xml:space="preserve">☐  A product with three axes generates its combinations correctly and lets unwanted ones be removed.
☐  Leaving a tab does not lose entered data.</t>
  </si>
  <si>
    <t xml:space="preserve">FE2-CH04</t>
  </si>
  <si>
    <t xml:space="preserve">Catalog productivity tools</t>
  </si>
  <si>
    <t xml:space="preserve">1. Excel import with template download, preview and a per-row error table.
2. Bulk edit and copy-as-template.
3. Export of the full or filtered catalog.</t>
  </si>
  <si>
    <t xml:space="preserve">☐  An import of 10,000 rows runs in the background with progress, not a frozen page.</t>
  </si>
  <si>
    <t xml:space="preserve">FE2-CH05</t>
  </si>
  <si>
    <t xml:space="preserve">Pricing console</t>
  </si>
  <si>
    <t xml:space="preserve">1. Price lists by scope, quantity tier editor with contiguity validation, zone and group lists.
2. Effective dates and scheduled future changes.
3. Change log with reason, shown as a first-class screen not a hidden tab.</t>
  </si>
  <si>
    <t xml:space="preserve">☐  Overlapping tiers cannot be saved.
☐  A scheduled change is visible before it takes effect.</t>
  </si>
  <si>
    <t xml:space="preserve">FE2-CH06</t>
  </si>
  <si>
    <t xml:space="preserve">Offer builder</t>
  </si>
  <si>
    <t xml:space="preserve">1. A type-driven form for all six offer types with targeting, window, quota and combinability.
2. A live preview of the effect on a sample cart before publishing.
3. Status lifecycle: draft, scheduled, active, expired, manually stopped, quota exhausted.</t>
  </si>
  <si>
    <t xml:space="preserve">☐  Publishing an offer that conflicts with an active one surfaces the conflict and the priority rule.
☐  The preview matches what the retailer app computes.</t>
  </si>
  <si>
    <t xml:space="preserve">BE2-PRM01, BE2-PRM02</t>
  </si>
  <si>
    <t xml:space="preserve">FE2-CH07</t>
  </si>
  <si>
    <t xml:space="preserve">Order inbox</t>
  </si>
  <si>
    <t xml:space="preserve">1. Pending orders grouped by zone and sorted oldest first, with a warning colour past the waiting threshold.
2. Full filter set and bulk confirm, reject, assign, schedule and print.
3. Bulk actions are primary, not buried in a menu.</t>
  </si>
  <si>
    <t xml:space="preserve">☐  Fifty orders are confirmed and assigned in under two minutes (DOC-01 §8).
☐  A partial failure is reported per order without losing the successes.</t>
  </si>
  <si>
    <t xml:space="preserve">BE2-ORD05, BE2-ORD06</t>
  </si>
  <si>
    <t xml:space="preserve">FE2-CH08</t>
  </si>
  <si>
    <t xml:space="preserve">Order detail screen</t>
  </si>
  <si>
    <t xml:space="preserve">1. Header with retailer, zone, address and map, line table with per-line availability, financial summary and timeline.
2. Quantity edit and line removal before confirmation with a mandatory reason.
3. Action buttons driven by the allowed transitions, never hard coded.</t>
  </si>
  <si>
    <t xml:space="preserve">☐  An action absent from the allowed set is not rendered.
☐  Editing before confirmation notifies the retailer.</t>
  </si>
  <si>
    <t xml:space="preserve">Roadmap — every figure is a live formula over the Backlog sheet</t>
  </si>
  <si>
    <t xml:space="preserve">Points by sprint and side</t>
  </si>
  <si>
    <t xml:space="preserve">Total</t>
  </si>
  <si>
    <t xml:space="preserve">Issue count by sprint and side</t>
  </si>
  <si>
    <t xml:space="preserve">Points by sprint and unit</t>
  </si>
  <si>
    <t xml:space="preserve">Blocker</t>
  </si>
  <si>
    <t xml:space="preserve">Blocker title</t>
  </si>
  <si>
    <t xml:space="preserve">Blocker layer</t>
  </si>
  <si>
    <t xml:space="preserve">Blocker sprint</t>
  </si>
  <si>
    <t xml:space="preserve">Blocked</t>
  </si>
  <si>
    <t xml:space="preserve">Blocked title</t>
  </si>
  <si>
    <t xml:space="preserve">Blocked sprint</t>
  </si>
  <si>
    <t xml:space="preserve">From earlier layer</t>
  </si>
  <si>
    <t xml:space="preserve">BE-C03</t>
  </si>
  <si>
    <t xml:space="preserve">Idempotency middleware</t>
  </si>
  <si>
    <t xml:space="preserve">L1</t>
  </si>
  <si>
    <t xml:space="preserve">SP-00</t>
  </si>
  <si>
    <t xml:space="preserve">Yes</t>
  </si>
  <si>
    <t xml:space="preserve">BE-C04</t>
  </si>
  <si>
    <t xml:space="preserve">Immutable audit log</t>
  </si>
  <si>
    <t xml:space="preserve">BE-C06</t>
  </si>
  <si>
    <t xml:space="preserve">Money value object and integer columns</t>
  </si>
  <si>
    <t xml:space="preserve">BE-C07</t>
  </si>
  <si>
    <t xml:space="preserve">State machine base and event tables</t>
  </si>
  <si>
    <t xml:space="preserve">BE-R05</t>
  </si>
  <si>
    <t xml:space="preserve">Root categories</t>
  </si>
  <si>
    <t xml:space="preserve">SP-03</t>
  </si>
  <si>
    <t xml:space="preserve">BE-R11</t>
  </si>
  <si>
    <t xml:space="preserve">Reference import with dry run</t>
  </si>
  <si>
    <t xml:space="preserve">Tenant isolation: trait, scope and 404 policy</t>
  </si>
  <si>
    <t xml:space="preserve">SP-04</t>
  </si>
  <si>
    <t xml:space="preserve">BE-X03</t>
  </si>
  <si>
    <t xml:space="preserve">Media storage adapter</t>
  </si>
  <si>
    <t xml:space="preserve">SP-01</t>
  </si>
  <si>
    <t xml:space="preserve">L2</t>
  </si>
  <si>
    <t xml:space="preserve">No</t>
  </si>
  <si>
    <t xml:space="preserve">CH-05</t>
  </si>
  <si>
    <t xml:space="preserve">Shell and permission-driven sidebar</t>
  </si>
  <si>
    <t xml:space="preserve">RT-14</t>
  </si>
  <si>
    <t xml:space="preserve">Empty home</t>
  </si>
  <si>
    <t xml:space="preserve">Rule</t>
  </si>
  <si>
    <t xml:space="preserve">Statement</t>
  </si>
  <si>
    <t xml:space="preserve">Owning module</t>
  </si>
  <si>
    <t xml:space="preserve">Enforcing issue</t>
  </si>
  <si>
    <t xml:space="preserve">In this layer</t>
  </si>
  <si>
    <t xml:space="preserve">BR-01</t>
  </si>
  <si>
    <t xml:space="preserve">A multi-channel order is split automatically at submission into independent sub-orders, each with its own number, invoice, route and rep.</t>
  </si>
  <si>
    <t xml:space="preserve">BR-02</t>
  </si>
  <si>
    <t xml:space="preserve">The supply channel name is not disclosed to the retailer before the sub-order is confirmed.</t>
  </si>
  <si>
    <t xml:space="preserve">Ordering / Core</t>
  </si>
  <si>
    <t xml:space="preserve">BE2-ORD08 · BE2-ORD02</t>
  </si>
  <si>
    <t xml:space="preserve">BR-03</t>
  </si>
  <si>
    <t xml:space="preserve">The rep name and phone are not disclosed before the order reaches on_the_way.</t>
  </si>
  <si>
    <t xml:space="preserve">Delivery</t>
  </si>
  <si>
    <t xml:space="preserve">BE2-ORD08 · FE3-RT01</t>
  </si>
  <si>
    <t xml:space="preserve">BR-04</t>
  </si>
  <si>
    <t xml:space="preserve">The price is frozen on the order at submission and is unaffected by any later price-list change.</t>
  </si>
  <si>
    <t xml:space="preserve">BR-05</t>
  </si>
  <si>
    <t xml:space="preserve">Stock reservation starts at confirmation; the actual deduction happens at handover to the rep.</t>
  </si>
  <si>
    <t xml:space="preserve">Inventory</t>
  </si>
  <si>
    <t xml:space="preserve">BE3-INV02</t>
  </si>
  <si>
    <t xml:space="preserve">BR-06</t>
  </si>
  <si>
    <t xml:space="preserve">Cancellation by the retailer is permitted in the pending state only.</t>
  </si>
  <si>
    <t xml:space="preserve">BR-07</t>
  </si>
  <si>
    <t xml:space="preserve">The cart is emptied automatically after a successful submission and held locally before it.</t>
  </si>
  <si>
    <t xml:space="preserve">BE2-ORD01 · FE2-RT11</t>
  </si>
  <si>
    <t xml:space="preserve">BR-08</t>
  </si>
  <si>
    <t xml:space="preserve">A composite offer is indivisible on add, remove and return.</t>
  </si>
  <si>
    <t xml:space="preserve">BR-09</t>
  </si>
  <si>
    <t xml:space="preserve">An invoice discount applies only to the portion of the multi-channel order belonging to that channel.</t>
  </si>
  <si>
    <t xml:space="preserve">Promotion / Finance</t>
  </si>
  <si>
    <t xml:space="preserve">BR-10</t>
  </si>
  <si>
    <t xml:space="preserve">A posted invoice cannot be edited; corrections are made by a linked credit or debit note.</t>
  </si>
  <si>
    <t xml:space="preserve">Finance</t>
  </si>
  <si>
    <t xml:space="preserve">BE3-FIN01</t>
  </si>
  <si>
    <t xml:space="preserve">BR-11</t>
  </si>
  <si>
    <t xml:space="preserve">Every payment is documented by a unique receipt number shared between the rep and retailer apps to prevent double entry.</t>
  </si>
  <si>
    <t xml:space="preserve">Finance / Core</t>
  </si>
  <si>
    <t xml:space="preserve">BE3-FIN02</t>
  </si>
  <si>
    <t xml:space="preserve">BR-12</t>
  </si>
  <si>
    <t xml:space="preserve">A rep may not exceed the discount cap or the cash-collection cap set for them.</t>
  </si>
  <si>
    <t xml:space="preserve">Delivery / Finance</t>
  </si>
  <si>
    <t xml:space="preserve">BE2-PRC04 · BE3-FIN04</t>
  </si>
  <si>
    <t xml:space="preserve">BR-13</t>
  </si>
  <si>
    <t xml:space="preserve">An accepted return re-enters stock according to the warehouse inspection, not the requester claim.</t>
  </si>
  <si>
    <t xml:space="preserve">Returns / Inventory</t>
  </si>
  <si>
    <t xml:space="preserve">BE3-RET02 · BE3-RET03</t>
  </si>
  <si>
    <t xml:space="preserve">BR-14</t>
  </si>
  <si>
    <t xml:space="preserve">The retailer sees a logical availability state and never the numeric stock quantity.</t>
  </si>
  <si>
    <t xml:space="preserve">Inventory / Catalog</t>
  </si>
  <si>
    <t xml:space="preserve">BE3-INV01</t>
  </si>
  <si>
    <t xml:space="preserve">BR-15</t>
  </si>
  <si>
    <t xml:space="preserve">Products, prices and offers are always filtered by three criteria together: zone, activity type and retailer group.</t>
  </si>
  <si>
    <t xml:space="preserve">Catalog / Pricing</t>
  </si>
  <si>
    <t xml:space="preserve">BE2-CAT03 · BE2-CAT07</t>
  </si>
  <si>
    <t xml:space="preserve">BR-16</t>
  </si>
  <si>
    <t xml:space="preserve">Every operation that changes financial or inventory data is written to the audit log and is never hard deleted.</t>
  </si>
  <si>
    <t xml:space="preserve">Core</t>
  </si>
  <si>
    <t xml:space="preserve">BE-C04 (L1)</t>
  </si>
  <si>
    <t xml:space="preserve">BR-17</t>
  </si>
  <si>
    <t xml:space="preserve">A read notification is hidden from the counter but is not deleted from the log.</t>
  </si>
  <si>
    <t xml:space="preserve">Notification</t>
  </si>
  <si>
    <t xml:space="preserve">BE4-NTF01</t>
  </si>
  <si>
    <t xml:space="preserve">BR-18</t>
  </si>
  <si>
    <t xml:space="preserve">Date and time are presented in Arabic format in local Damascus time across every interface.</t>
  </si>
  <si>
    <t xml:space="preserve">BE-C01 (L1)</t>
  </si>
  <si>
    <t xml:space="preserve">BR-19</t>
  </si>
  <si>
    <t xml:space="preserve">An order may not be assigned to a rep who is off duty or outside their zones.</t>
  </si>
  <si>
    <t xml:space="preserve">Ordering / Delivery</t>
  </si>
  <si>
    <t xml:space="preserve">BE3-DLV01</t>
  </si>
  <si>
    <t xml:space="preserve">BR-20</t>
  </si>
  <si>
    <t xml:space="preserve">An offer that expires or runs out of quota is removed from unsent carts with a notice before confirmation.</t>
  </si>
  <si>
    <t xml:space="preserve">REQ-IN-01</t>
  </si>
  <si>
    <t xml:space="preserve">The receipt number is generated by one side and read by the other; two payments with the same number are never accepted, even across repeated sync.</t>
  </si>
  <si>
    <t xml:space="preserve">Core / Finance</t>
  </si>
  <si>
    <t xml:space="preserve">BE-C03 (L1) · BE3-FIN02</t>
  </si>
  <si>
    <t xml:space="preserve">REQ-IN-02</t>
  </si>
  <si>
    <t xml:space="preserve">Handover requires dual confirmation: stock is not deducted and the state does not move to on_the_way on one confirmation alone.</t>
  </si>
  <si>
    <t xml:space="preserve">Fulfillment</t>
  </si>
  <si>
    <t xml:space="preserve">BE3-FUL04</t>
  </si>
  <si>
    <t xml:space="preserve">REQ-IN-03</t>
  </si>
  <si>
    <t xml:space="preserve">An assigned order appears in the rep accept queue; rejection returns it to unassigned with a reason and an immediate channel alert.</t>
  </si>
  <si>
    <t xml:space="preserve">REQ-IN-04</t>
  </si>
  <si>
    <t xml:space="preserve">A return may be raised by either app, decided only by the channel, and its physical condition is determined by the warehouse.</t>
  </si>
  <si>
    <t xml:space="preserve">Returns</t>
  </si>
  <si>
    <t xml:space="preserve">BE3-RET01 · FE3-CH05</t>
  </si>
  <si>
    <t xml:space="preserve">REQ-IN-05</t>
  </si>
  <si>
    <t xml:space="preserve">Both parties see the same delivery line list and any quantity edit changes the invoice amount for both.</t>
  </si>
  <si>
    <t xml:space="preserve">BE3-DLV03</t>
  </si>
  <si>
    <t xml:space="preserve">REQ-IN-06</t>
  </si>
  <si>
    <t xml:space="preserve">Channel and rep identity are withheld at the data layer, not at the presentation layer.</t>
  </si>
  <si>
    <t xml:space="preserve">Core / Tenancy</t>
  </si>
  <si>
    <t xml:space="preserve">BE-T02 (L1) · BE2-ORD08</t>
  </si>
  <si>
    <t xml:space="preserve">REQ-IN-07</t>
  </si>
  <si>
    <t xml:space="preserve">Pricing is computed on the server only; no local pricing logic is permitted beyond a clearly marked temporary estimate.</t>
  </si>
  <si>
    <t xml:space="preserve">REQ-IN-08</t>
  </si>
  <si>
    <t xml:space="preserve">The multi-channel split happens on the server at submission; the retailer sees one order and each channel sees only its part.</t>
  </si>
  <si>
    <t xml:space="preserve">Code</t>
  </si>
  <si>
    <t xml:space="preserve">Criterion</t>
  </si>
  <si>
    <t xml:space="preserve">How it is measured</t>
  </si>
  <si>
    <t xml:space="preserve">Satisfied by</t>
  </si>
  <si>
    <t xml:space="preserve">AC-01</t>
  </si>
  <si>
    <t xml:space="preserve">A new user completes registration in under sixty seconds.</t>
  </si>
  <si>
    <t xml:space="preserve">Timed with five real users who have never seen the app.</t>
  </si>
  <si>
    <t xml:space="preserve">RT-18 · RP-10 (L1) · BE4-HRD03</t>
  </si>
  <si>
    <t xml:space="preserve">AC-02</t>
  </si>
  <si>
    <t xml:space="preserve">A retailer submits an order in three to four taps.</t>
  </si>
  <si>
    <t xml:space="preserve">Tap count from home to the success screen.</t>
  </si>
  <si>
    <t xml:space="preserve">FE2-RT03 · FE2-RT11 · BE4-HRD03</t>
  </si>
  <si>
    <t xml:space="preserve">AC-03</t>
  </si>
  <si>
    <t xml:space="preserve">A rep captures an order in under thirty seconds.</t>
  </si>
  <si>
    <t xml:space="preserve">Timed in the field with real reps inside real shops.</t>
  </si>
  <si>
    <t xml:space="preserve">FE3-RP02 · FE4-QA01</t>
  </si>
  <si>
    <t xml:space="preserve">AC-04</t>
  </si>
  <si>
    <t xml:space="preserve">Value is understood within ten seconds.</t>
  </si>
  <si>
    <t xml:space="preserve">Ask a retailer what they understood from this screen.</t>
  </si>
  <si>
    <t xml:space="preserve">FE2-RT01 · FE4-QA01</t>
  </si>
  <si>
    <t xml:space="preserve">AC-05</t>
  </si>
  <si>
    <t xml:space="preserve">Zero lost or duplicated operations after sync.</t>
  </si>
  <si>
    <t xml:space="preserve">A full working day offline with deliberate interruptions and resends.</t>
  </si>
  <si>
    <t xml:space="preserve">BE3-SYN01 · BE3-SYN03 · FE3-RT06 · FE3-RT07</t>
  </si>
  <si>
    <t xml:space="preserve">AC-06</t>
  </si>
  <si>
    <t xml:space="preserve">The rep wallet equals collections minus settlements at any instant.</t>
  </si>
  <si>
    <t xml:space="preserve">Reconciliation against the wallet ledger.</t>
  </si>
  <si>
    <t xml:space="preserve">BE3-FIN04 · FE3-RP10</t>
  </si>
  <si>
    <t xml:space="preserve">AC-07</t>
  </si>
  <si>
    <t xml:space="preserve">The retailer statement equals invoices minus payments minus returns.</t>
  </si>
  <si>
    <t xml:space="preserve">Reconciliation against the finance ledger.</t>
  </si>
  <si>
    <t xml:space="preserve">BE3-FIN03 · FE3-RT05</t>
  </si>
  <si>
    <t xml:space="preserve">AC-08</t>
  </si>
  <si>
    <t xml:space="preserve">The channel identity cannot be revealed before confirmation, nor the rep before departure.</t>
  </si>
  <si>
    <t xml:space="preserve">Inspect the API responses directly, not the UI.</t>
  </si>
  <si>
    <t xml:space="preserve">BE2-ORD08 · BE4-HRD02</t>
  </si>
  <si>
    <t xml:space="preserve">AC-09</t>
  </si>
  <si>
    <t xml:space="preserve">Conditional offers compute correctly.</t>
  </si>
  <si>
    <t xml:space="preserve">Every offer type tested in the cart and on the final invoice.</t>
  </si>
  <si>
    <t xml:space="preserve">BE2-PRM03 · FE2-CH06</t>
  </si>
  <si>
    <t xml:space="preserve">AC-10</t>
  </si>
  <si>
    <t xml:space="preserve">Acceptable performance on a weak device.</t>
  </si>
  <si>
    <t xml:space="preserve">Startup and home load on 2GB RAM over 3G.</t>
  </si>
  <si>
    <t xml:space="preserve">BE2-CAT05 · BE4-HRD01 · FE4-QA01</t>
  </si>
  <si>
    <t xml:space="preserve">Module</t>
  </si>
  <si>
    <t xml:space="preserve">Table</t>
  </si>
  <si>
    <t xml:space="preserve">Created by issue</t>
  </si>
  <si>
    <t xml:space="preserve">cart_lines</t>
  </si>
  <si>
    <t xml:space="preserve">carts</t>
  </si>
  <si>
    <t xml:space="preserve">order_lines</t>
  </si>
  <si>
    <t xml:space="preserve">orders</t>
  </si>
  <si>
    <t xml:space="preserve">sub_orders</t>
  </si>
  <si>
    <t xml:space="preserve">price_lists</t>
  </si>
  <si>
    <t xml:space="preserve">price_rules</t>
  </si>
  <si>
    <t xml:space="preserve">offer_rewards</t>
  </si>
  <si>
    <t xml:space="preserve">offer_rules</t>
  </si>
  <si>
    <t xml:space="preserve">offers</t>
  </si>
  <si>
    <t xml:space="preserve">Event</t>
  </si>
  <si>
    <t xml:space="preserve">Emitted by</t>
  </si>
  <si>
    <t xml:space="preserve">Listened to by</t>
  </si>
  <si>
    <t xml:space="preserve">Effect</t>
  </si>
  <si>
    <t xml:space="preserve">Delivered in</t>
  </si>
  <si>
    <t xml:space="preserve">Issue</t>
  </si>
  <si>
    <t xml:space="preserve">ChannelStatusChanged</t>
  </si>
  <si>
    <t xml:space="preserve">Tenancy</t>
  </si>
  <si>
    <t xml:space="preserve">Ordering, Notification, Reporting</t>
  </si>
  <si>
    <t xml:space="preserve">Freezes new orders only (BR-AD-14)</t>
  </si>
  <si>
    <t xml:space="preserve">BE-T01 (L1)</t>
  </si>
  <si>
    <t xml:space="preserve">ReferenceDisabled</t>
  </si>
  <si>
    <t xml:space="preserve">Reference</t>
  </si>
  <si>
    <t xml:space="preserve">Catalog, Tenancy, Ordering</t>
  </si>
  <si>
    <t xml:space="preserve">Blocks new use without touching existing records</t>
  </si>
  <si>
    <t xml:space="preserve">BE-R01 (L1)</t>
  </si>
  <si>
    <t xml:space="preserve">OrderSubmitted</t>
  </si>
  <si>
    <t xml:space="preserve">Inventory, Notification, Reporting</t>
  </si>
  <si>
    <t xml:space="preserve">No reservation yet — channel notification only</t>
  </si>
  <si>
    <t xml:space="preserve">Layer 2</t>
  </si>
  <si>
    <t xml:space="preserve">Inventory, Fulfillment, Notification</t>
  </si>
  <si>
    <t xml:space="preserve">Reserve stock and create the picking list (BR-05)</t>
  </si>
  <si>
    <t xml:space="preserve">HandoverCompleted</t>
  </si>
  <si>
    <t xml:space="preserve">Inventory, Ordering, Notification</t>
  </si>
  <si>
    <t xml:space="preserve">Actual stock deduction and the on_the_way state</t>
  </si>
  <si>
    <t xml:space="preserve">Layer 3</t>
  </si>
  <si>
    <t xml:space="preserve">DeliveryCompleted</t>
  </si>
  <si>
    <t xml:space="preserve">Finance, Loyalty, Notification</t>
  </si>
  <si>
    <t xml:space="preserve">Generate the invoice, create the receivable, award points</t>
  </si>
  <si>
    <t xml:space="preserve">PaymentRecorded</t>
  </si>
  <si>
    <t xml:space="preserve">Finance/Wallet, Notification, Reporting</t>
  </si>
  <si>
    <t xml:space="preserve">Increase the rep wallet and reduce the retailer receivable</t>
  </si>
  <si>
    <t xml:space="preserve">ReturnApproved</t>
  </si>
  <si>
    <t xml:space="preserve">Finance, Inventory</t>
  </si>
  <si>
    <t xml:space="preserve">Credit note plus stock return according to condition</t>
  </si>
  <si>
    <t xml:space="preserve">BE3-RET02</t>
  </si>
  <si>
    <t xml:space="preserve">PriceListChanged</t>
  </si>
  <si>
    <t xml:space="preserve">Sync, Reporting</t>
  </si>
  <si>
    <t xml:space="preserve">Marks data for differential sync; never touches a live order</t>
  </si>
  <si>
    <t xml:space="preserve">#</t>
  </si>
  <si>
    <t xml:space="preserve">Risk</t>
  </si>
  <si>
    <t xml:space="preserve">Impact</t>
  </si>
  <si>
    <t xml:space="preserve">Consequence</t>
  </si>
  <si>
    <t xml:space="preserve">Mitigation</t>
  </si>
  <si>
    <t xml:space="preserve">Owning issue</t>
  </si>
  <si>
    <t xml:space="preserve">Weak retailer adoption from unfamiliarity with technology.</t>
  </si>
  <si>
    <t xml:space="preserve">The catalog exists and nobody orders from it.</t>
  </si>
  <si>
    <t xml:space="preserve">The three-tap rule, repeated testing with real retailers, and keeping the rep as an alternative input channel.</t>
  </si>
  <si>
    <t xml:space="preserve">FE2-RT03 · FE3-RP02</t>
  </si>
  <si>
    <t xml:space="preserve">Content entry lags behind app readiness.</t>
  </si>
  <si>
    <t xml:space="preserve">A finished app that looks empty, which is worse than no app.</t>
  </si>
  <si>
    <t xml:space="preserve">Start catalog entry in parallel with development and name a content owner inside the channel.</t>
  </si>
  <si>
    <t xml:space="preserve">BE2-CAT06 · FE2-CH04</t>
  </si>
  <si>
    <t xml:space="preserve">Users refuse device permissions.</t>
  </si>
  <si>
    <t xml:space="preserve">Location, camera and notification features degrade.</t>
  </si>
  <si>
    <t xml:space="preserve">Request each permission in context with a one-line reason, and provide a manual alternative for every dependent feature.</t>
  </si>
  <si>
    <t xml:space="preserve">FE3-RP09 · FE2-RT01</t>
  </si>
  <si>
    <t xml:space="preserve">The pricing engine returns an unexplainable price.</t>
  </si>
  <si>
    <t xml:space="preserve">The single complaint the whole product was built to remove.</t>
  </si>
  <si>
    <t xml:space="preserve">Every result carries its applied rule id; 90 percent unit coverage including every precedence collision.</t>
  </si>
  <si>
    <t xml:space="preserve">Issues start before their endpoints exist in the API catalog.</t>
  </si>
  <si>
    <t xml:space="preserve">The exact failure Layer 1 was designed to prevent: screens built against invented contracts.</t>
  </si>
  <si>
    <t xml:space="preserve">The Contract column stays Proposed until the catalog is published; no issue is pulled while it reads Proposed.</t>
  </si>
  <si>
    <t xml:space="preserve">Every issue in this workbook</t>
  </si>
  <si>
    <t xml:space="preserve">Issue ID</t>
  </si>
  <si>
    <t xml:space="preserve">Issue Key</t>
  </si>
  <si>
    <t xml:space="preserve">Issue Type</t>
  </si>
  <si>
    <t xml:space="preserve">Summary</t>
  </si>
  <si>
    <t xml:space="preserve">Description</t>
  </si>
  <si>
    <t xml:space="preserve">Component/s</t>
  </si>
  <si>
    <t xml:space="preserve">Story Points</t>
  </si>
  <si>
    <t xml:space="preserve">Epic Name</t>
  </si>
  <si>
    <t xml:space="preserve">Epic Link</t>
  </si>
  <si>
    <t xml:space="preserve">Fix Version/s</t>
  </si>
  <si>
    <t xml:space="preserve">Labels</t>
  </si>
  <si>
    <t xml:space="preserve">Blocked By</t>
  </si>
  <si>
    <t xml:space="preserve">EP-L2-CAT — Catalog</t>
  </si>
  <si>
    <t xml:space="preserve">*Layer:* L2
*Covers:* Brands, five-level category tree, products, variants, media, import
*Volume:* 8 issues / 52 points</t>
  </si>
  <si>
    <t xml:space="preserve">l2</t>
  </si>
  <si>
    <t xml:space="preserve">l2 epic</t>
  </si>
  <si>
    <t xml:space="preserve">EP-L2-PRC — Pricing engine</t>
  </si>
  <si>
    <t xml:space="preserve">*Layer:* L2
*Covers:* Five-rule precedence, tiers, zone and group prices, change log, price freeze
*Volume:* 5 issues / 31 points</t>
  </si>
  <si>
    <t xml:space="preserve">EP-L2-PRM — Promotion engine</t>
  </si>
  <si>
    <t xml:space="preserve">*Layer:* L2
*Covers:* Six offer types, targeting, quota, cart evaluation, indivisibility
*Volume:* 5 issues / 29 points</t>
  </si>
  <si>
    <t xml:space="preserve">EP-L2-ORD — Cart and order submission</t>
  </si>
  <si>
    <t xml:space="preserve">*Layer:* L2
*Covers:* Cart, multi-channel split, sub-orders, state machine, channel inbox
*Volume:* 8 issues / 46 points</t>
  </si>
  <si>
    <t xml:space="preserve">EP-L2-FE-RT — Retailer commerce screens</t>
  </si>
  <si>
    <t xml:space="preserve">*Layer:* L2
*Covers:* Home, browse paths, product, offer, brand, cart, my orders
*Volume:* 12 issues / 57 points</t>
  </si>
  <si>
    <t xml:space="preserve">EP-L2-FE-CH — Channel commerce console</t>
  </si>
  <si>
    <t xml:space="preserve">*Layer:* L2
*Covers:* Catalog admin, pricing, offers, order inbox and detail
*Volume:* 8 issues / 58 points</t>
  </si>
  <si>
    <t xml:space="preserve">Story</t>
  </si>
  <si>
    <t xml:space="preserve">BE2-CAT01 — Brands</t>
  </si>
  <si>
    <t xml:space="preserve">*Side:* Backend    *Unit:* Catalog    *Sprint:* SP-05
*Contract status:* Proposed — endpoints must be fixed in the API catalog before this issue is pulled.
*Tables:* brands
h3. Requirements
# Name in Arabic and English unique within the channel, logo (minimum 512x512), page banner, short description up to 300 characters.
# Multiple activities per brand, display order, and an enable flag that hides the brand and its products without deleting them.
# Brand page sliders configured as name plus source plus count plus order.
h3. Acceptance criteria
* (/) Disabling a brand removes it and its products from both apps while preserving every record.
* (/) Brand name uniqueness is enforced per channel by a database constraint.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</si>
  <si>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backend, sp-05</t>
  </si>
  <si>
    <t xml:space="preserve">BE2-CAT02 — Five-level category tree</t>
  </si>
  <si>
    <t xml:space="preserve">*Side:* Backend    *Unit:* Catalog    *Sprint:* SP-05
*Contract status:* Proposed — endpoints must be fixed in the API catalog before this issue is pulled.
*Tables:* categories
h3. Requirements
# Materialised path plus parent_id, with a hard maximum depth of five levels enforced server side.
# Drag and drop reordering and moving between levels, applied transactionally.
# A category holding active products cannot be disabled until they are moved or disabled, and the count is returned with the refusal.
# Category to activity-type binding decides visibility for each retailer.
h3. Acceptance criteria
* (/) Creating a sixth level is refused with a clear message, not silently truncated.
* (/) A live counter shows direct and total product counts per node.
* (/) Reordering a subtree of 500 nodes stays within the interactive budget.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</si>
  <si>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7</t>
  </si>
  <si>
    <t xml:space="preserve">BE2-CAT03 — Products</t>
  </si>
  <si>
    <t xml:space="preserve">*Side:* Backend    *Unit:* Catalog    *Sprint:* SP-05
*Contract status:* Proposed — endpoints must be fixed in the API catalog before this issue is pulled.
*Tables:* products
h3. Requirements
# All DOC-01 §4.2.3 tabs: basics, description, media, sale and packaging, pricing type, inventory, availability, variants, marketing.
# SKU and barcode unique per channel with duplicate detection on entry.
# Availability is the intersection of zones, activities and retailer groups (BR-15).
# Soft delete only; disabling hides the product from both apps.
h3. Acceptance criteria
* (/) A duplicate SKU is caught at entry, not at save.
* (/) A product outside the retailer zone never appears in any list or search result.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</si>
  <si>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8</t>
  </si>
  <si>
    <t xml:space="preserve">BE2-CAT04 — Variants and combination generation</t>
  </si>
  <si>
    <t xml:space="preserve">*Side:* Backend    *Unit:* Catalog    *Sprint:* SP-05
*Contract status:* Proposed — endpoints must be fixed in the API catalog before this issue is pulled.
*Tables:* product_variants
h3. Requirements
# Define variant axes and values, then generate every combination with the ability to delete ones that do not exist.
# Each combination has its own SKU, price override or inherited price, stock balance, image and barcode.
# A cart line binds to the variant id, never to the product id.
h3. Acceptance criteria
* (/) Adding two variants of one product to the cart produces two independent lines.
* (/) Deleting a non-existent combination does not affect the others.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</si>
  <si>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9</t>
  </si>
  <si>
    <t xml:space="preserve">BE2-CAT05 — Media library and image processing</t>
  </si>
  <si>
    <t xml:space="preserve">*Side:* Backend    *Unit:* Catalog    *Sprint:* SP-05
*Contract status:* Proposed — endpoints must be fixed in the API catalog before this issue is pulled.
*Tables:* product_media
h3. Requirements
# Multiple images with a primary flag and ordering, optional video.
# Automatic compression and multi-size generation to serve low-end devices on 3G (REQ-CM-043).
# Processing runs on the media queue, never inside the request.
h3. Acceptance criteria
* (/) A product card request transfers a thumbnail, not the original file.
* (/) An upload never blocks the response.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</si>
  <si>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BE2-CAT06 — Catalog import and export</t>
  </si>
  <si>
    <t xml:space="preserve">*Side:* Backend    *Unit:* Catalog    *Sprint:* SP-05
*Contract status:* Proposed — endpoints must be fixed in the API catalog before this issue is pulled.
*Tables:* import_batches
h3. Requirements
# Excel import with a published template, a preview before saving, and a per-row error report.
# Full or filtered export.
# Bulk edit of category, brand, status, zones or a price percentage for a selected set.
# Duplicate detection on SKU and barcode during import.
h3. Acceptance criteria
* (/) A file of 10,000 rows imports without timing out, on a queue.
* (/) A partially invalid file reports every bad row and imports nothing until confirmed.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</si>
  <si>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BE2-CAT07 — Retailer and rep catalog read API</t>
  </si>
  <si>
    <t xml:space="preserve">*Side:* Backend    *Unit:* Catalog    *Sprint:* SP-06
*Contract status:* Proposed — endpoints must be fixed in the API catalog before this issue is pulled.
h3. Requirements
# List and detail endpoints filtered by zone, activity and retailer group in one query (BR-15).
# Card payloads are minimal for mobile; detail is fetched on demand (DOC-02 §9).
# Cursor pagination, not offset, for long lists.
# Bulk price resolution for the whole page in one call to avoid N+1.
h3. Acceptance criteria
* (/) A 60-item page issues one pricing call, not sixty.
* (/) The retailer never receives a numeric stock quantity, only a logical availability state (BR-14).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</si>
  <si>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backend, sp-06</t>
  </si>
  <si>
    <t xml:space="preserve">9 17</t>
  </si>
  <si>
    <t xml:space="preserve">BE2-CAT08 — Text and barcode search</t>
  </si>
  <si>
    <t xml:space="preserve">*Side:* Backend    *Unit:* Catalog    *Sprint:* SP-06
*Contract status:* Proposed — endpoints must be fixed in the API catalog before this issue is pulled.
h3. Requirements
# Arabic text search across product, brand and category with tolerance for common spelling variants.
# Exact barcode lookup returning the variant directly.
# Search respects the same three-way filter as the listing.
h3. Acceptance criteria
* (/) A barcode scan resolves to one variant or a clear not-found.
* (/) Search never returns a product the retailer cannot be delivered.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</si>
  <si>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13</t>
  </si>
  <si>
    <t xml:space="preserve">BE2-PRC01 — Price lists and rule types</t>
  </si>
  <si>
    <t xml:space="preserve">*Side:* Backend    *Unit:* Pricing    *Sprint:* SP-06
*Contract status:* Proposed — endpoints must be fixed in the API catalog before this issue is pulled.
*Tables:* price_lists, price_rules
h3. Requirements
# Five rule types: fixed base price, quantity tiers, zone list, retailer-group list, retailer-specific agreement.
# Every list carries an effective-from and effective-to date and supports a scheduled future change applied automatically.
# All values are integers in the smallest currency unit.
h3. Acceptance criteria
* (/) A scheduled change activates without human action at its effective time.
* (/) No float exists anywhere on the pricing path.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</si>
  <si>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BE2-PRC02 — Quantity tiers</t>
  </si>
  <si>
    <t xml:space="preserve">*Side:* Backend    *Unit:* Pricing    *Sprint:* SP-06
*Contract status:* Proposed — endpoints must be fixed in the API catalog before this issue is pulled.
*Tables:* qty_tiers
h3. Requirements
# Tiers defined as min and max quantity with a unit price, validated to be contiguous and non-overlapping.
# The card shows the highest price, which is the price of the smallest quantity, with a quantity-based marker.
# The detail page shows the full from-to range and recomputes live as quantity and variant change.
h3. Acceptance criteria
* (/) Overlapping tiers are refused at save.
* (/) The card price always equals the lowest tier quantity price.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</si>
  <si>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15</t>
  </si>
  <si>
    <t xml:space="preserve">BE2-PRC03 — Pricing engine with rule precedence</t>
  </si>
  <si>
    <t xml:space="preserve">*Side:* Backend    *Unit:* Pricing    *Sprint:* SP-06
*Contract status:* Proposed — endpoints must be fixed in the API catalog before this issue is pulled.
h3. Requirements
# A pure service taking a context and returning a price, with no knowledge of HTTP or session (DOC-02 §11).
# Precedence: retailer price, then group price, then zone price, then quantity tier, then base price. Search stops at the first matching effective rule.
# Every result carries the applied rule id so any price can be explained and audited.
# Bulk resolve for a full list in one query, with a cache keyed on the whole context and invalidated on any price or product change.
h3. Acceptance criteria
* (/) Unit test coverage of the engine is at least 90 percent, including every precedence collision.
* (/) Two retailers in different zones receive different correct prices for the same product (DOC-04 §8).
* (/) The applied rule id is present on every returned price.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</si>
  <si>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15 16</t>
  </si>
  <si>
    <t xml:space="preserve">BE2-PRC04 — Price change log and controls</t>
  </si>
  <si>
    <t xml:space="preserve">*Side:* Backend    *Unit:* Pricing    *Sprint:* SP-06
*Contract status:* Proposed — endpoints must be fixed in the API catalog before this issue is pulled.
*Tables:* price_change_log
h3. Requirements
# Record who changed what, from what to what, when and why, with the reason mandatory.
# The price-change permission is separate from the catalog-management permission.
# A rep discount cap at invoice level that the system refuses to exceed, with every use recorded (BR-12).
h3. Acceptance criteria
* (/) A price change without a reason is refused.
* (/) A rep cannot exceed the cap through any path including a direct API call.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</si>
  <si>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BE2-PRC05 — Price freeze on the order</t>
  </si>
  <si>
    <t xml:space="preserve">*Side:* Backend    *Unit:* Pricing    *Sprint:* SP-07
*Contract status:* Proposed — endpoints must be fixed in the API catalog before this issue is pulled.
h3. Requirements
# The unit price, currency and applied rule id are copied onto the order line at submission (BR-04).
# A later price-list change never affects a live order.
# An offline-created order is repriced on the server at intake with the difference reported to the user (REQ-CM-018).
h3. Acceptance criteria
* (/) Changing a price list after submission leaves the order total unchanged, proven by test.
* (/) A repriced offline order shows the retailer the delta before confirmation.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</si>
  <si>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backend, sp-07</t>
  </si>
  <si>
    <t xml:space="preserve">17 27</t>
  </si>
  <si>
    <t xml:space="preserve">BE2-PRM01 — Offer types</t>
  </si>
  <si>
    <t xml:space="preserve">*Side:* Backend    *Unit:* Promotion    *Sprint:* SP-07
*Contract status:* Proposed — endpoints must be fixed in the API catalog before this issue is pulled.
*Tables:* offers, offer_rules, offer_rewards
h3. Requirements
# Six types: product discount, invoice discount, buy X get Y, bundle, tiered discount, free gift or sample.
# A free gift is recorded at zero value and still deducted from stock.
# An invoice discount applies only to the portion belonging to that channel within a multi-channel order (BR-09).
h3. Acceptance criteria
* (/) Each of the six types has its own calculation test on a realistic cart.
* (/) A bundle cannot be partially added or partially removed.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</si>
  <si>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17</t>
  </si>
  <si>
    <t xml:space="preserve">BE2-PRM02 — Targeting and constraints</t>
  </si>
  <si>
    <t xml:space="preserve">*Side:* Backend    *Unit:* Promotion    *Sprint:* SP-07
*Contract status:* Proposed — endpoints must be fixed in the API catalog before this issue is pulled.
*Tables:* offer_targets
h3. Requirements
# Target all, an activity type, one or more zones, a retailer group or a specific retailer, combinable with AND.
# Start and end datetime, total quota, per-retailer cap and per-order cap.
# Minimum invoice value or item count to activate.
# Combinability flag with another offer or with an invoice discount, plus a numeric priority for conflicts.
h3. Acceptance criteria
* (/) A retailer outside the target never sees the offer in any list.
* (/) The remaining-quota counter is accurate under concurrent carts.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</si>
  <si>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20</t>
  </si>
  <si>
    <t xml:space="preserve">BE2-PRM03 — Cart evaluation engine</t>
  </si>
  <si>
    <t xml:space="preserve">*Side:* Backend    *Unit:* Promotion    *Sprint:* SP-07
*Contract status:* Proposed — endpoints must be fixed in the API catalog before this issue is pulled.
*Tables:* offer_usages
h3. Requirements
# Operates on the whole cart, not a single line, because conditional offers need to see every item (DOC-02 §12).
# Three phases: collect eligible offers, evaluate conditions, apply rewards in priority order.
# Rewards are added as separate cart lines marked as offer-generated and not manually editable.
# Re-evaluate on every cart change and again immediately before confirmation.
h3. Acceptance criteria
* (/) Buy 3 get 1 applies automatically and is computed correctly on the final invoice (DOC-01 §8).
* (/) Reducing quantity below the threshold removes the offer with a notice before confirmation.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</si>
  <si>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21 25</t>
  </si>
  <si>
    <t xml:space="preserve">BE2-PRM04 — Indivisibility and quota reservation</t>
  </si>
  <si>
    <t xml:space="preserve">*Side:* Backend    *Unit:* Promotion    *Sprint:* SP-07
*Contract status:* Proposed — endpoints must be fixed in the API catalog before this issue is pulled.
h3. Requirements
# Every line generated by one offer carries a shared promotion group id; removing any removes the whole group (BR-08).
# Offer quota is reserved alongside stock at confirmation to prevent overshoot.
# An expired or exhausted offer is removed from unsent carts with a notice before confirmation (BR-20).
h3. Acceptance criteria
* (/) Deleting one bundle line deletes every line of that bundle in one operation.
* (/) Two simultaneous carts cannot consume the same last unit of quota.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</si>
  <si>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22</t>
  </si>
  <si>
    <t xml:space="preserve">BE2-PRM05 — Offer performance report</t>
  </si>
  <si>
    <t xml:space="preserve">*Side:* Backend    *Unit:* Promotion    *Sprint:* SP-07
*Contract status:* Proposed — endpoints must be fixed in the API catalog before this issue is pulled.
h3. Requirements
# Applications count, associated sales value, discount granted and net margin.
# Beneficiary retailers and their zone distribution, and a view-to-use conversion rate.
h3. Acceptance criteria
* (/) Every figure traces back to the underlying order lines.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</si>
  <si>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BE2-ORD01 — Cart model</t>
  </si>
  <si>
    <t xml:space="preserve">*Side:* Backend    *Unit:* Ordering    *Sprint:* SP-07
*Contract status:* Proposed — endpoints must be fixed in the API catalog before this issue is pulled.
*Tables:* carts, cart_lines
h3. Requirements
# One cart per retailer, internally sectioned by supply channel with an independent note per section.
# A line binds to a variant id and carries quantity, resolved price and any offer group id.
# The cart is held server side and mirrored locally on the device so it survives app closure (BR-07).
h3. Acceptance criteria
* (/) A cart with items from three channels shows three sections with three subtotals.
* (/) Closing and reopening the app restores the cart intact.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</si>
  <si>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BE2-ORD02 — Cart totals and discount rules</t>
  </si>
  <si>
    <t xml:space="preserve">*Side:* Backend    *Unit:* Ordering    *Sprint:* SP-07
*Contract status:* Proposed — endpoints must be fixed in the API catalog before this issue is pulled.
h3. Requirements
# Product-level discount shown on the line as before and after.
# Invoice-level discount applied per channel section under that channel conditions.
# Summary returns subtotal, discount, final total and an estimated collection date.
h3. Acceptance criteria
* (/) The channel name is absent from every cart response before confirmation (BR-02).
* (/) Totals recomputed on the server match the client display exactly.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</si>
  <si>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25 22</t>
  </si>
  <si>
    <t xml:space="preserve">BE2-ORD03 — Order submission and multi-channel split</t>
  </si>
  <si>
    <t xml:space="preserve">*Side:* Backend    *Unit:* Ordering    *Sprint:* SP-07
*Contract status:* Proposed — endpoints must be fixed in the API catalog before this issue is pulled.
*Tables:* orders, sub_orders, order_lines
h3. Requirements
# Submission splits the cart on the server into independent sub-orders, one per channel, each with its own number and route (BR-01, REQ-IN-08).
# Price freeze, offer quota reservation and number generation happen inside one database transaction.
# The retailer sees one order; each channel sees only its own part.
# The whole operation is idempotent on the submission key.
h3. Acceptance criteria
* (/) A three-channel order produces exactly three sub-orders and one retailer-facing order.
* (/) A retried submission after a dropped connection creates no duplicate.
* (/) A channel querying the order sees only its own lines, never the others.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</si>
  <si>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26</t>
  </si>
  <si>
    <t xml:space="preserve">BE2-ORD04 — Sub-order state machine</t>
  </si>
  <si>
    <t xml:space="preserve">*Side:* Backend    *Unit:* Ordering    *Sprint:* SP-08
*Contract status:* Proposed — endpoints must be fixed in the API catalog before this issue is pulled.
*Tables:* order_events
h3. Requirements
# Nine states and the explicit transition matrix from DOC-01 §4.6.3.
# Retailer cancellation is permitted only in the pending state (BR-06); after confirmation it requires the channel.
# Each transition runs through one action owning all of its side effects, and emits one event.
# Every transition is logged with actor, reason and time.
h3. Acceptance criteria
* (/) A disallowed transition returns 409 illegal_transition.
* (/) The retailer cancel button is impossible to use after confirmation, server side.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</si>
  <si>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backend, sp-08</t>
  </si>
  <si>
    <t xml:space="preserve">27</t>
  </si>
  <si>
    <t xml:space="preserve">BE2-ORD05 — Channel order inbox</t>
  </si>
  <si>
    <t xml:space="preserve">*Side:* Backend    *Unit:* Ordering    *Sprint:* SP-08
*Contract status:* Proposed — endpoints must be fixed in the API catalog before this issue is pulled.
h3. Requirements
# Default view: pending sub-orders sorted oldest first and grouped by zone.
# Filters on zone, status, retailer, rep, brand, date range, value range and source.
# A waiting-time field so the UI can flag orders past the configured threshold.
h3. Acceptance criteria
* (/) A channel sees only its own sub-orders under every filter combination.
* (/) The list stays within the interactive budget at 5,000 orders per day.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</si>
  <si>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28</t>
  </si>
  <si>
    <t xml:space="preserve">BE2-ORD06 — Bulk confirm, reject and schedule</t>
  </si>
  <si>
    <t xml:space="preserve">*Side:* Backend    *Unit:* Ordering    *Sprint:* SP-08
*Contract status:* Proposed — endpoints must be fixed in the API catalog before this issue is pulled.
*Events:* SubOrderConfirmed
h3. Requirements
# Confirm, reject or schedule many sub-orders in one call with a per-order result.
# Confirmation reserves stock and emits SubOrderConfirmed (BR-05).
# Editing a quantity or removing a line before confirmation requires a reason and notifies the retailer.
h3. Acceptance criteria
* (/) Fifty orders are confirmed and assigned in under two minutes end to end (DOC-01 §8).
* (/) A failure on one order does not roll back the rest.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</si>
  <si>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29</t>
  </si>
  <si>
    <t xml:space="preserve">BE2-ORD07 — Order detail and timeline</t>
  </si>
  <si>
    <t xml:space="preserve">*Side:* Backend    *Unit:* Ordering    *Sprint:* SP-08
*Contract status:* Proposed — endpoints must be fixed in the API catalog before this issue is pulled.
h3. Requirements
# Header, line table with availability per line, financial summary, retailer note and a full event timeline.
# Printing endpoints for the picking order and the invoice.
h3. Acceptance criteria
* (/) Every state change appears in the timeline with its actor.
* (/) The financial summary reconciles to the sum of the lines exactly.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</si>
  <si>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BE2-ORD08 — Retailer order list and detail API</t>
  </si>
  <si>
    <t xml:space="preserve">*Side:* Backend    *Unit:* Ordering    *Sprint:* SP-08
*Contract status:* Proposed — endpoints must be fixed in the API catalog before this issue is pulled.
h3. Requirements
# Filter by all, active, pending, in progress, delivered, cancelled, and by channel.
# The channel name appears only after confirmation; the rep identity only at on_the_way (BR-02, BR-03, REQ-IN-06).
# Withholding happens in the resource layer, not in the client.
h3. Acceptance criteria
* (/) An API inspection before confirmation shows no channel identity anywhere in the payload.
* (/) The rep name and phone are absent until the state is on_the_way.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</si>
  <si>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FE2-RT01 — Home header, search and status bar</t>
  </si>
  <si>
    <t xml:space="preserve">*Side:* Frontend    *Unit:* Retailer app    *Sprint:* SP-06
*Contract status:* Proposed — endpoints must be fixed in the API catalog before this issue is pulled.
h3. Requirements
# Personal greeting, shop name and zone, connection state in three colours, notifications, favourites and manual sync.
# Search by text, voice and barcode with an advanced filter entry point.
# The whole header works from local cache when offline.
h3. Acceptance criteria
* (/) The connection indicator changes within two seconds of a state change.
* (/) Barcode scanning adds directly to the cart or the shortages list.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</si>
  <si>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frontend, sp-06</t>
  </si>
  <si>
    <t xml:space="preserve">FE2-RT02 — Home banner and sliders</t>
  </si>
  <si>
    <t xml:space="preserve">*Side:* Frontend    *Unit:* Retailer app    *Sprint:* SP-06
*Contract status:* Proposed — endpoints must be fixed in the API catalog before this issue is pulled.
h3. Requirements
# Main banner supporting image, video or GIF with an internal or external link, a date window and activity targeting.
# Category block up to five levels filtered by the retailer own categories.
# Offer slider and brand slider, both filtered by activity type.
h3. Acceptance criteria
* (/) Stored content renders offline with a staleness note.
* (/) A banner outside its date window never renders.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</si>
  <si>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33</t>
  </si>
  <si>
    <t xml:space="preserve">FE2-RT03 — Four action buttons block</t>
  </si>
  <si>
    <t xml:space="preserve">*Side:* Frontend    *Unit:* Retailer app    *Sprint:* SP-06
*Contract status:* Proposed — endpoints must be fixed in the API catalog before this issue is pulled.
h3. Requirements
# Order, reorder, record shortages and record payment as four large buttons.
# This block is the practical entry point to everything the retailer does daily.
h3. Acceptance criteria
* (/) Reaching the cart from home takes at most three taps (AC-02).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</si>
  <si>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FE2-RT04 — Statistics cards</t>
  </si>
  <si>
    <t xml:space="preserve">*Side:* Frontend    *Unit:* Retailer app    *Sprint:* SP-06
*Contract status:* Proposed — endpoints must be fixed in the API catalog before this issue is pulled.
h3. Requirements
# Order count, total debt and today deliveries, each opening its detail.
# Offline shows last-sync figures with the sync time stated.
h3. Acceptance criteria
* (/) A stale figure is never shown without its timestamp.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</si>
  <si>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FE2-RT05 — Five browse paths</t>
  </si>
  <si>
    <t xml:space="preserve">*Side:* Frontend    *Unit:* Retailer app    *Sprint:* SP-06
*Contract status:* Proposed — endpoints must be fixed in the API catalog before this issue is pulled.
h3. Requirements
# Shortages, favourites, by brand, by root category, all products.
# Adding from shortages asks for a quantity and then removes the item from the shortages list.
h3. Acceptance criteria
* (/) Each path reaches the cart without leaving the flow.
* (/) The shortages list shrinks as items are added.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</si>
  <si>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35 13</t>
  </si>
  <si>
    <t xml:space="preserve">FE2-RT06 — Product card</t>
  </si>
  <si>
    <t xml:space="preserve">*Side:* Frontend    *Unit:* Retailer app    *Sprint:* SP-06
*Contract status:* Proposed — endpoints must be fixed in the API catalog before this issue is pulled.
h3. Requirements
# Image, name, brand, sale unit, minimum order, price, discount, sold count, availability, lead time, rating, favourite and offer icon.
# Quantity-based pricing shows the smallest-quantity price with an explicit marker.
# Price and availability appear on the card itself, never one screen deeper.
h3. Acceptance criteria
* (/) The card renders offline with the last price-update date shown.
* (/) No numeric stock quantity appears anywhere on the card.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</si>
  <si>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13 17</t>
  </si>
  <si>
    <t xml:space="preserve">FE2-RT07 — Product detail page</t>
  </si>
  <si>
    <t xml:space="preserve">*Side:* Frontend    *Unit:* Retailer app    *Sprint:* SP-06
*Contract status:* Proposed — endpoints must be fixed in the API catalog before this issue is pulled.
h3. Requirements
# Images, description, specification table, variants, and four sliders including price comparison with similar products.
# Variants bind to the cart independently, with the requested count shown above each variant.
# The price updates live as quantity and variant change.
h3. Acceptance criteria
* (/) Two variants can be added with different quantities as two separate lines.
* (/) The from-to range is shown for quantity-based pricing.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</si>
  <si>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38</t>
  </si>
  <si>
    <t xml:space="preserve">FE2-RT08 — Offer card and offer page</t>
  </si>
  <si>
    <t xml:space="preserve">*Side:* Frontend    *Unit:* Retailer app    *Sprint:* SP-07
*Contract status:* Proposed — endpoints must be fixed in the API catalog before this issue is pulled.
h3. Requirements
# Card with identity, components, before and after price, and urgency counters: end date, days left, quantity left, sold count.
# Detail page with components, icons, add to cart with quantity, and related sliders.
h3. Acceptance criteria
* (/) Counters are server values, never client estimates.
* (/) An expired offer is not addable and says why.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</si>
  <si>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frontend, sp-07</t>
  </si>
  <si>
    <t xml:space="preserve">FE2-RT09 — Brand card and brand page</t>
  </si>
  <si>
    <t xml:space="preserve">*Side:* Frontend    *Unit:* Retailer app    *Sprint:* SP-07
*Contract status:* Proposed — endpoints must be fixed in the API catalog before this issue is pulled.
h3. Requirements
# Card with logo, name and activities; page with header banner, profile, category strip, sliders and show-all.
h3. Acceptance criteria
* (/) The page renders from cache when offline.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</si>
  <si>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FE2-RT10 — Cart screen</t>
  </si>
  <si>
    <t xml:space="preserve">*Side:* Frontend    *Unit:* Retailer app    *Sprint:* SP-07
*Contract status:* Proposed — endpoints must be fixed in the API catalog before this issue is pulled.
h3. Requirements
# Sectioned by supply channel, each section with its own order number, supplier field, note field and subtotal.
# Line shows thumbnail, name, brand, quantity, attributes, unit, price, discount and net; delete only while pending.
# Invoice summary with total, discount, final amount and collection date, plus an optional scheduled date.
# The cart is held locally so it survives app closure before submission.
h3. Acceptance criteria
* (/) The channel name is not rendered anywhere before confirmation.
* (/) Closing the app before submission loses nothing.
* (/) Deleting one line of an offer removes the whole offer group.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</si>
  <si>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FE2-RT11 — Submission and success screen</t>
  </si>
  <si>
    <t xml:space="preserve">*Side:* Frontend    *Unit:* Retailer app    *Sprint:* SP-07
*Contract status:* Proposed — endpoints must be fixed in the API catalog before this issue is pulled.
h3. Requirements
# Confirm and send with one idempotency key per confirm tap.
# Success screen with the order number, a track button and a return-home button; the cart empties automatically.
# Offline submission is accepted and queued with a pending-sync state.
h3. Acceptance criteria
* (/) A dropped connection and retry never sends the order twice (AC-05).
* (/) The cart is empty immediately after a successful submission (BR-07).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</si>
  <si>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42 27</t>
  </si>
  <si>
    <t xml:space="preserve">FE2-RT12 — My orders screen</t>
  </si>
  <si>
    <t xml:space="preserve">*Side:* Frontend    *Unit:* Retailer app    *Sprint:* SP-08
*Contract status:* Proposed — endpoints must be fixed in the API catalog before this issue is pulled.
h3. Requirements
# Filters across six statuses and by channel; each row shows number, date, channel, status, total, reorder and cancel.
# Cancel is offered only in the pending state.
# Tapping a row opens the full order and invoice detail.
h3. Acceptance criteria
* (/) The cancel control is absent, not merely disabled, after confirmation.
* (/) The list works from cache offline.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</si>
  <si>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frontend, sp-08</t>
  </si>
  <si>
    <t xml:space="preserve">32</t>
  </si>
  <si>
    <t xml:space="preserve">FE2-CH01 — Channel shell and dashboard</t>
  </si>
  <si>
    <t xml:space="preserve">*Side:* Frontend    *Unit:* Channel dashboard    *Sprint:* SP-08
*Contract status:* Proposed — endpoints must be fixed in the API catalog before this issue is pulled.
h3. Requirements
# Indicator cards with a selectable period, an actionable alert panel and the charts from DOC-01 §4.1.
# Every card and every chart column is clickable and opens the corresponding filtered list.
# A figure is never shown without a route to its detail.
h3. Acceptance criteria
* (/) Every KPI drills through to the underlying documents.
* (/) The alert panel lists overdue pending orders with a bulk confirm action.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</si>
  <si>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FE2-CH02 — Brand and category admin</t>
  </si>
  <si>
    <t xml:space="preserve">*Side:* Frontend    *Unit:* Channel dashboard    *Sprint:* SP-05
*Contract status:* Proposed — endpoints must be fixed in the API catalog before this issue is pulled.
h3. Requirements
# Brand CRUD with media and page-slider configuration.
# A drag-and-drop category tree with a hard five-level cap and live product counters.
# Disabling refused while active products remain, with the count shown.
h3. Acceptance criteria
* (/) A sixth level cannot be created through the UI or by a direct call.
* (/) Reordering persists and survives a reload.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</si>
  <si>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l2, frontend, sp-05</t>
  </si>
  <si>
    <t xml:space="preserve">FE2-CH03 — Product editor</t>
  </si>
  <si>
    <t xml:space="preserve">*Side:* Frontend    *Unit:* Channel dashboard    *Sprint:* SP-05
*Contract status:* Proposed — endpoints must be fixed in the API catalog before this issue is pulled.
h3. Requirements
# Tabbed form matching the backend field set, to keep cognitive load down.
# Variant axis editor with combination generation and per-combination price, stock, image and barcode.
# Duplicate SKU and barcode warnings inline.
h3. Acceptance criteria
* (/) A product with three axes generates its combinations correctly and lets unwanted ones be removed.
* (/) Leaving a tab does not lose entered data.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</si>
  <si>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FE2-CH04 — Catalog productivity tools</t>
  </si>
  <si>
    <t xml:space="preserve">*Side:* Frontend    *Unit:* Channel dashboard    *Sprint:* SP-05
*Contract status:* Proposed — endpoints must be fixed in the API catalog before this issue is pulled.
h3. Requirements
# Excel import with template download, preview and a per-row error table.
# Bulk edit and copy-as-template.
# Export of the full or filtered catalog.
h3. Acceptance criteria
* (/) An import of 10,000 rows runs in the background with progress, not a frozen page.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</si>
  <si>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12</t>
  </si>
  <si>
    <t xml:space="preserve">FE2-CH05 — Pricing console</t>
  </si>
  <si>
    <t xml:space="preserve">*Side:* Frontend    *Unit:* Channel dashboard    *Sprint:* SP-06
*Contract status:* Proposed — endpoints must be fixed in the API catalog before this issue is pulled.
h3. Requirements
# Price lists by scope, quantity tier editor with contiguity validation, zone and group lists.
# Effective dates and scheduled future changes.
# Change log with reason, shown as a first-class screen not a hidden tab.
h3. Acceptance criteria
* (/) Overlapping tiers cannot be saved.
* (/) A scheduled change is visible before it takes effect.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</si>
  <si>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FE2-CH06 — Offer builder</t>
  </si>
  <si>
    <t xml:space="preserve">*Side:* Frontend    *Unit:* Channel dashboard    *Sprint:* SP-07
*Contract status:* Proposed — endpoints must be fixed in the API catalog before this issue is pulled.
h3. Requirements
# A type-driven form for all six offer types with targeting, window, quota and combinability.
# A live preview of the effect on a sample cart before publishing.
# Status lifecycle: draft, scheduled, active, expired, manually stopped, quota exhausted.
h3. Acceptance criteria
* (/) Publishing an offer that conflicts with an active one surfaces the conflict and the priority rule.
* (/) The preview matches what the retailer app computes.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</si>
  <si>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20 21</t>
  </si>
  <si>
    <t xml:space="preserve">FE2-CH07 — Order inbox</t>
  </si>
  <si>
    <t xml:space="preserve">*Side:* Frontend    *Unit:* Channel dashboard    *Sprint:* SP-08
*Contract status:* Proposed — endpoints must be fixed in the API catalog before this issue is pulled.
h3. Requirements
# Pending orders grouped by zone and sorted oldest first, with a warning colour past the waiting threshold.
# Full filter set and bulk confirm, reject, assign, schedule and print.
# Bulk actions are primary, not buried in a menu.
h3. Acceptance criteria
* (/) Fifty orders are confirmed and assigned in under two minutes (DOC-01 §8).
* (/) A partial failure is reported per order without losing the successes.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</si>
  <si>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29 30</t>
  </si>
  <si>
    <t xml:space="preserve">FE2-CH08 — Order detail screen</t>
  </si>
  <si>
    <t xml:space="preserve">*Side:* Frontend    *Unit:* Channel dashboard    *Sprint:* SP-08
*Contract status:* Proposed — endpoints must be fixed in the API catalog before this issue is pulled.
h3. Requirements
# Header with retailer, zone, address and map, line table with per-line availability, financial summary and timeline.
# Quantity edit and line removal before confirmation with a mandatory reason.
# Action buttons driven by the allowed transitions, never hard coded.
h3. Acceptance criteria
* (/) An action absent from the allowed set is not rendered.
* (/) Editing before confirmation notifies the retailer.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</si>
  <si>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31</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</si>
</sst>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0"/>
      <color rgb="FF595959"/>
      <name val="Arial"/>
      <family val="0"/>
      <charset val="1"/>
    </font>
    <font>
      <b val="true"/>
      <sz val="13"/>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b val="true"/>
      <sz val="9"/>
      <color rgb="FF1F3864"/>
      <name val="Arial"/>
      <family val="0"/>
      <charset val="1"/>
    </font>
    <font>
      <sz val="9"/>
      <color rgb="FF000000"/>
      <name val="Arial"/>
      <family val="0"/>
      <charset val="1"/>
    </font>
    <font>
      <b val="true"/>
      <sz val="14"/>
      <color rgb="FF1F3864"/>
      <name val="Arial"/>
      <family val="0"/>
      <charset val="1"/>
    </font>
    <font>
      <b val="true"/>
      <sz val="12"/>
      <color rgb="FF1F3864"/>
      <name val="Arial"/>
      <family val="0"/>
      <charset val="1"/>
    </font>
    <font>
      <sz val="9"/>
      <name val="Arial"/>
      <family val="0"/>
      <charset val="1"/>
    </font>
  </fonts>
  <fills count="9">
    <fill>
      <patternFill patternType="none"/>
    </fill>
    <fill>
      <patternFill patternType="gray125"/>
    </fill>
    <fill>
      <patternFill patternType="solid">
        <fgColor rgb="FFFFFFFF"/>
        <bgColor rgb="FFF2F5FB"/>
      </patternFill>
    </fill>
    <fill>
      <patternFill patternType="solid">
        <fgColor rgb="FFF2F5FB"/>
        <bgColor rgb="FFFFFFFF"/>
      </patternFill>
    </fill>
    <fill>
      <patternFill patternType="solid">
        <fgColor rgb="FF1F3864"/>
        <bgColor rgb="FF333333"/>
      </patternFill>
    </fill>
    <fill>
      <patternFill patternType="solid">
        <fgColor rgb="FFF4CCCC"/>
        <bgColor rgb="FFFCE5CD"/>
      </patternFill>
    </fill>
    <fill>
      <patternFill patternType="solid">
        <fgColor rgb="FFFCE5CD"/>
        <bgColor rgb="FFFFF2CC"/>
      </patternFill>
    </fill>
    <fill>
      <patternFill patternType="solid">
        <fgColor rgb="FFFFF2CC"/>
        <bgColor rgb="FFFCE5CD"/>
      </patternFill>
    </fill>
    <fill>
      <patternFill patternType="solid">
        <fgColor rgb="FFE2EFDA"/>
        <bgColor rgb="FFF2F5FB"/>
      </patternFill>
    </fill>
  </fills>
  <borders count="2">
    <border diagonalUp="false" diagonalDown="false">
      <left/>
      <right/>
      <top/>
      <bottom/>
      <diagonal/>
    </border>
    <border diagonalUp="false" diagonalDown="false">
      <left style="thin">
        <color rgb="FFB4C0D8"/>
      </left>
      <right style="thin">
        <color rgb="FFB4C0D8"/>
      </right>
      <top style="thin">
        <color rgb="FFB4C0D8"/>
      </top>
      <bottom style="thin">
        <color rgb="FFB4C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2F5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7B6C"/>
      <rgbColor rgb="FFB4C0D8"/>
      <rgbColor rgb="FF7F7F7F"/>
      <rgbColor rgb="FF9999FF"/>
      <rgbColor rgb="FF7030A0"/>
      <rgbColor rgb="FFFFF2CC"/>
      <rgbColor rgb="FFF2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5CD"/>
      <rgbColor rgb="FF99CCFF"/>
      <rgbColor rgb="FFFF99CC"/>
      <rgbColor rgb="FFCC99FF"/>
      <rgbColor rgb="FFF4CCCC"/>
      <rgbColor rgb="FF3366FF"/>
      <rgbColor rgb="FF33CCCC"/>
      <rgbColor rgb="FF99CC00"/>
      <rgbColor rgb="FFFFCC00"/>
      <rgbColor rgb="FFBF8F00"/>
      <rgbColor rgb="FFC55A11"/>
      <rgbColor rgb="FF595959"/>
      <rgbColor rgb="FF969696"/>
      <rgbColor rgb="FF1F3864"/>
      <rgbColor rgb="FF339966"/>
      <rgbColor rgb="FF003300"/>
      <rgbColor rgb="FF333300"/>
      <rgbColor rgb="FF9C2A21"/>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B4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27.75" hidden="false" customHeight="true" outlineLevel="0" collapsed="false">
      <c r="A1" s="1" t="s">
        <v>0</v>
      </c>
    </row>
    <row r="2" customFormat="false" ht="25.5" hidden="false" customHeight="true" outlineLevel="0" collapsed="false">
      <c r="A2" s="2" t="s">
        <v>1</v>
      </c>
      <c r="B2" s="2"/>
    </row>
    <row r="4" customFormat="false" ht="16.15" hidden="false" customHeight="false" outlineLevel="0" collapsed="false">
      <c r="A4" s="3" t="s">
        <v>2</v>
      </c>
    </row>
    <row r="5" customFormat="false" ht="13.5" hidden="false" customHeight="true" outlineLevel="0" collapsed="false">
      <c r="A5" s="4" t="s">
        <v>3</v>
      </c>
      <c r="B5" s="5" t="s">
        <v>4</v>
      </c>
    </row>
    <row r="6" customFormat="false" ht="13.5" hidden="false" customHeight="true" outlineLevel="0" collapsed="false">
      <c r="A6" s="6" t="s">
        <v>5</v>
      </c>
      <c r="B6" s="7" t="s">
        <v>6</v>
      </c>
    </row>
    <row r="7" customFormat="false" ht="13.5" hidden="false" customHeight="true" outlineLevel="0" collapsed="false">
      <c r="A7" s="4" t="s">
        <v>7</v>
      </c>
      <c r="B7" s="5" t="s">
        <v>8</v>
      </c>
    </row>
    <row r="8" customFormat="false" ht="13.5" hidden="false" customHeight="true" outlineLevel="0" collapsed="false">
      <c r="A8" s="6" t="s">
        <v>9</v>
      </c>
      <c r="B8" s="7" t="s">
        <v>10</v>
      </c>
    </row>
    <row r="9" customFormat="false" ht="27.75" hidden="false" customHeight="true" outlineLevel="0" collapsed="false">
      <c r="A9" s="4" t="s">
        <v>11</v>
      </c>
      <c r="B9" s="5" t="s">
        <v>12</v>
      </c>
    </row>
    <row r="11" customFormat="false" ht="16.15" hidden="false" customHeight="false" outlineLevel="0" collapsed="false">
      <c r="A11" s="3" t="s">
        <v>13</v>
      </c>
    </row>
    <row r="12" customFormat="false" ht="13.5" hidden="false" customHeight="true" outlineLevel="0" collapsed="false">
      <c r="A12" s="4" t="s">
        <v>14</v>
      </c>
      <c r="B12" s="5" t="s">
        <v>15</v>
      </c>
    </row>
    <row r="13" customFormat="false" ht="13.5" hidden="false" customHeight="true" outlineLevel="0" collapsed="false">
      <c r="A13" s="6" t="s">
        <v>16</v>
      </c>
      <c r="B13" s="7" t="s">
        <v>17</v>
      </c>
    </row>
    <row r="14" customFormat="false" ht="13.5" hidden="false" customHeight="true" outlineLevel="0" collapsed="false">
      <c r="A14" s="4" t="s">
        <v>18</v>
      </c>
      <c r="B14" s="5" t="s">
        <v>19</v>
      </c>
    </row>
    <row r="15" customFormat="false" ht="13.5" hidden="false" customHeight="true" outlineLevel="0" collapsed="false">
      <c r="A15" s="6" t="s">
        <v>20</v>
      </c>
      <c r="B15" s="7" t="s">
        <v>21</v>
      </c>
    </row>
    <row r="16" customFormat="false" ht="13.5" hidden="false" customHeight="true" outlineLevel="0" collapsed="false">
      <c r="A16" s="4" t="s">
        <v>22</v>
      </c>
      <c r="B16" s="5" t="s">
        <v>23</v>
      </c>
    </row>
    <row r="17" customFormat="false" ht="13.5" hidden="false" customHeight="true" outlineLevel="0" collapsed="false">
      <c r="A17" s="6" t="s">
        <v>24</v>
      </c>
      <c r="B17" s="7" t="s">
        <v>25</v>
      </c>
    </row>
    <row r="18" customFormat="false" ht="13.5" hidden="false" customHeight="true" outlineLevel="0" collapsed="false">
      <c r="A18" s="4" t="s">
        <v>26</v>
      </c>
      <c r="B18" s="5" t="s">
        <v>27</v>
      </c>
    </row>
    <row r="19" customFormat="false" ht="13.5" hidden="false" customHeight="true" outlineLevel="0" collapsed="false">
      <c r="A19" s="6" t="s">
        <v>28</v>
      </c>
      <c r="B19" s="7" t="s">
        <v>29</v>
      </c>
    </row>
    <row r="20" customFormat="false" ht="13.5" hidden="false" customHeight="true" outlineLevel="0" collapsed="false">
      <c r="A20" s="4" t="s">
        <v>30</v>
      </c>
      <c r="B20" s="5" t="s">
        <v>31</v>
      </c>
    </row>
    <row r="21" customFormat="false" ht="13.5" hidden="false" customHeight="true" outlineLevel="0" collapsed="false">
      <c r="A21" s="6" t="s">
        <v>32</v>
      </c>
      <c r="B21" s="7" t="s">
        <v>33</v>
      </c>
    </row>
    <row r="23" customFormat="false" ht="16.15" hidden="false" customHeight="false" outlineLevel="0" collapsed="false">
      <c r="A23" s="3" t="s">
        <v>34</v>
      </c>
    </row>
    <row r="24" customFormat="false" ht="27.75" hidden="false" customHeight="true" outlineLevel="0" collapsed="false">
      <c r="A24" s="4" t="s">
        <v>35</v>
      </c>
      <c r="B24" s="5" t="s">
        <v>36</v>
      </c>
    </row>
    <row r="25" customFormat="false" ht="27.75" hidden="false" customHeight="true" outlineLevel="0" collapsed="false">
      <c r="A25" s="6" t="s">
        <v>37</v>
      </c>
      <c r="B25" s="7" t="s">
        <v>38</v>
      </c>
    </row>
    <row r="26" customFormat="false" ht="13.5" hidden="false" customHeight="true" outlineLevel="0" collapsed="false">
      <c r="A26" s="4" t="s">
        <v>39</v>
      </c>
      <c r="B26" s="5" t="s">
        <v>40</v>
      </c>
    </row>
    <row r="28" customFormat="false" ht="16.15" hidden="false" customHeight="false" outlineLevel="0" collapsed="false">
      <c r="A28" s="3" t="s">
        <v>41</v>
      </c>
    </row>
    <row r="29" customFormat="false" ht="13.5" hidden="false" customHeight="true" outlineLevel="0" collapsed="false">
      <c r="A29" s="4" t="s">
        <v>42</v>
      </c>
      <c r="B29" s="5" t="s">
        <v>43</v>
      </c>
    </row>
    <row r="30" customFormat="false" ht="13.5" hidden="false" customHeight="true" outlineLevel="0" collapsed="false">
      <c r="A30" s="6" t="s">
        <v>44</v>
      </c>
      <c r="B30" s="7" t="s">
        <v>45</v>
      </c>
    </row>
    <row r="31" customFormat="false" ht="13.5" hidden="false" customHeight="true" outlineLevel="0" collapsed="false">
      <c r="A31" s="4" t="s">
        <v>46</v>
      </c>
      <c r="B31" s="5" t="s">
        <v>47</v>
      </c>
    </row>
    <row r="32" customFormat="false" ht="13.5" hidden="false" customHeight="true" outlineLevel="0" collapsed="false">
      <c r="A32" s="6" t="s">
        <v>48</v>
      </c>
      <c r="B32" s="7" t="s">
        <v>49</v>
      </c>
    </row>
    <row r="33" customFormat="false" ht="13.5" hidden="false" customHeight="true" outlineLevel="0" collapsed="false">
      <c r="A33" s="4" t="s">
        <v>50</v>
      </c>
      <c r="B33" s="5" t="s">
        <v>51</v>
      </c>
    </row>
    <row r="34" customFormat="false" ht="13.5" hidden="false" customHeight="true" outlineLevel="0" collapsed="false">
      <c r="A34" s="6" t="s">
        <v>52</v>
      </c>
      <c r="B34" s="7" t="s">
        <v>53</v>
      </c>
    </row>
    <row r="35" customFormat="false" ht="13.5" hidden="false" customHeight="true" outlineLevel="0" collapsed="false">
      <c r="A35" s="4" t="s">
        <v>54</v>
      </c>
      <c r="B35" s="5" t="s">
        <v>55</v>
      </c>
    </row>
    <row r="36" customFormat="false" ht="13.5" hidden="false" customHeight="true" outlineLevel="0" collapsed="false">
      <c r="A36" s="6" t="s">
        <v>56</v>
      </c>
      <c r="B36" s="7" t="s">
        <v>57</v>
      </c>
    </row>
    <row r="37" customFormat="false" ht="13.5" hidden="false" customHeight="true" outlineLevel="0" collapsed="false">
      <c r="A37" s="4" t="s">
        <v>58</v>
      </c>
      <c r="B37" s="5" t="s">
        <v>59</v>
      </c>
    </row>
    <row r="38" customFormat="false" ht="13.5" hidden="false" customHeight="true" outlineLevel="0" collapsed="false">
      <c r="A38" s="6" t="s">
        <v>60</v>
      </c>
      <c r="B38" s="7" t="s">
        <v>61</v>
      </c>
    </row>
    <row r="40" customFormat="false" ht="16.15" hidden="false" customHeight="false" outlineLevel="0" collapsed="false">
      <c r="A40" s="3" t="s">
        <v>62</v>
      </c>
    </row>
    <row r="41" customFormat="false" ht="15" hidden="false" customHeight="false" outlineLevel="0" collapsed="false">
      <c r="A41" s="8" t="s">
        <v>63</v>
      </c>
      <c r="B41" s="9" t="n">
        <f aca="false">COUNTA(Backlog!A2:A47)</f>
        <v>46</v>
      </c>
    </row>
    <row r="42" customFormat="false" ht="15" hidden="false" customHeight="false" outlineLevel="0" collapsed="false">
      <c r="A42" s="8" t="s">
        <v>64</v>
      </c>
      <c r="B42" s="9" t="n">
        <f aca="false">SUM(Backlog!L2:L47)</f>
        <v>273</v>
      </c>
    </row>
    <row r="43" customFormat="false" ht="15" hidden="false" customHeight="false" outlineLevel="0" collapsed="false">
      <c r="A43" s="8" t="s">
        <v>65</v>
      </c>
      <c r="B43" s="9" t="n">
        <f aca="false">COUNTIF(Backlog!B2:B47,"Backend")</f>
        <v>26</v>
      </c>
    </row>
    <row r="44" customFormat="false" ht="15" hidden="false" customHeight="false" outlineLevel="0" collapsed="false">
      <c r="A44" s="8" t="s">
        <v>66</v>
      </c>
      <c r="B44" s="9" t="n">
        <f aca="false">COUNTIF(Backlog!B2:B47,"Frontend")</f>
        <v>20</v>
      </c>
    </row>
    <row r="45" customFormat="false" ht="15" hidden="false" customHeight="false" outlineLevel="0" collapsed="false">
      <c r="A45" s="8" t="s">
        <v>14</v>
      </c>
      <c r="B45" s="9" t="n">
        <f aca="false">COUNTA(Epics!A2:A60)</f>
        <v>6</v>
      </c>
    </row>
    <row r="46" customFormat="false" ht="15" hidden="false" customHeight="false" outlineLevel="0" collapsed="false">
      <c r="A46" s="8" t="s">
        <v>67</v>
      </c>
      <c r="B46" s="9" t="s">
        <v>68</v>
      </c>
    </row>
    <row r="47" customFormat="false" ht="15" hidden="false" customHeight="false" outlineLevel="0" collapsed="false">
      <c r="A47" s="8" t="s">
        <v>69</v>
      </c>
      <c r="B47" s="9" t="s">
        <v>70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62"/>
    <col collapsed="false" customWidth="true" hidden="false" outlineLevel="0" max="5" min="4" style="0" width="8"/>
    <col collapsed="false" customWidth="true" hidden="false" outlineLevel="0" max="6" min="6" style="0" width="24"/>
  </cols>
  <sheetData>
    <row r="1" customFormat="false" ht="30" hidden="false" customHeight="true" outlineLevel="0" collapsed="false">
      <c r="A1" s="10" t="s">
        <v>71</v>
      </c>
      <c r="B1" s="10" t="s">
        <v>72</v>
      </c>
      <c r="C1" s="10" t="s">
        <v>73</v>
      </c>
      <c r="D1" s="10" t="s">
        <v>74</v>
      </c>
      <c r="E1" s="10" t="s">
        <v>75</v>
      </c>
      <c r="F1" s="10" t="s">
        <v>5</v>
      </c>
    </row>
    <row r="2" customFormat="false" ht="28.5" hidden="false" customHeight="true" outlineLevel="0" collapsed="false">
      <c r="A2" s="11" t="s">
        <v>76</v>
      </c>
      <c r="B2" s="12" t="s">
        <v>77</v>
      </c>
      <c r="C2" s="12" t="s">
        <v>78</v>
      </c>
      <c r="D2" s="13" t="n">
        <v>8</v>
      </c>
      <c r="E2" s="13" t="n">
        <v>52</v>
      </c>
      <c r="F2" s="12" t="s">
        <v>79</v>
      </c>
    </row>
    <row r="3" customFormat="false" ht="28.5" hidden="false" customHeight="true" outlineLevel="0" collapsed="false">
      <c r="A3" s="14" t="s">
        <v>80</v>
      </c>
      <c r="B3" s="15" t="s">
        <v>81</v>
      </c>
      <c r="C3" s="15" t="s">
        <v>82</v>
      </c>
      <c r="D3" s="16" t="n">
        <v>5</v>
      </c>
      <c r="E3" s="16" t="n">
        <v>31</v>
      </c>
      <c r="F3" s="15" t="s">
        <v>83</v>
      </c>
    </row>
    <row r="4" customFormat="false" ht="28.5" hidden="false" customHeight="true" outlineLevel="0" collapsed="false">
      <c r="A4" s="11" t="s">
        <v>84</v>
      </c>
      <c r="B4" s="12" t="s">
        <v>85</v>
      </c>
      <c r="C4" s="12" t="s">
        <v>86</v>
      </c>
      <c r="D4" s="13" t="n">
        <v>5</v>
      </c>
      <c r="E4" s="13" t="n">
        <v>29</v>
      </c>
      <c r="F4" s="12" t="s">
        <v>87</v>
      </c>
    </row>
    <row r="5" customFormat="false" ht="28.5" hidden="false" customHeight="true" outlineLevel="0" collapsed="false">
      <c r="A5" s="14" t="s">
        <v>88</v>
      </c>
      <c r="B5" s="15" t="s">
        <v>89</v>
      </c>
      <c r="C5" s="15" t="s">
        <v>90</v>
      </c>
      <c r="D5" s="16" t="n">
        <v>8</v>
      </c>
      <c r="E5" s="16" t="n">
        <v>46</v>
      </c>
      <c r="F5" s="15" t="s">
        <v>91</v>
      </c>
    </row>
    <row r="6" customFormat="false" ht="17.25" hidden="false" customHeight="true" outlineLevel="0" collapsed="false">
      <c r="A6" s="11" t="s">
        <v>92</v>
      </c>
      <c r="B6" s="12" t="s">
        <v>93</v>
      </c>
      <c r="C6" s="12" t="s">
        <v>94</v>
      </c>
      <c r="D6" s="13" t="n">
        <v>12</v>
      </c>
      <c r="E6" s="13" t="n">
        <v>57</v>
      </c>
      <c r="F6" s="12" t="s">
        <v>95</v>
      </c>
    </row>
    <row r="7" customFormat="false" ht="28.5" hidden="false" customHeight="true" outlineLevel="0" collapsed="false">
      <c r="A7" s="14" t="s">
        <v>96</v>
      </c>
      <c r="B7" s="15" t="s">
        <v>97</v>
      </c>
      <c r="C7" s="15" t="s">
        <v>98</v>
      </c>
      <c r="D7" s="16" t="n">
        <v>8</v>
      </c>
      <c r="E7" s="16" t="n">
        <v>58</v>
      </c>
      <c r="F7" s="15" t="s">
        <v>99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O4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8"/>
    <col collapsed="false" customWidth="true" hidden="false" outlineLevel="0" max="4" min="4" style="0" width="32"/>
    <col collapsed="false" customWidth="true" hidden="false" outlineLevel="0" max="5" min="5" style="0" width="14"/>
    <col collapsed="false" customWidth="true" hidden="false" outlineLevel="0" max="6" min="6" style="0" width="9"/>
    <col collapsed="false" customWidth="true" hidden="false" outlineLevel="0" max="7" min="7" style="0" width="22"/>
    <col collapsed="false" customWidth="true" hidden="false" outlineLevel="0" max="8" min="8" style="0" width="15"/>
    <col collapsed="false" customWidth="true" hidden="false" outlineLevel="0" max="9" min="9" style="0" width="62"/>
    <col collapsed="false" customWidth="true" hidden="false" outlineLevel="0" max="10" min="10" style="0" width="52"/>
    <col collapsed="false" customWidth="true" hidden="false" outlineLevel="0" max="11" min="11" style="0" width="26"/>
    <col collapsed="false" customWidth="true" hidden="false" outlineLevel="0" max="12" min="12" style="0" width="7"/>
    <col collapsed="false" customWidth="true" hidden="false" outlineLevel="0" max="13" min="13" style="0" width="9"/>
    <col collapsed="false" customWidth="true" hidden="false" outlineLevel="0" max="14" min="14" style="0" width="20"/>
    <col collapsed="false" customWidth="true" hidden="false" outlineLevel="0" max="15" min="15" style="0" width="11"/>
  </cols>
  <sheetData>
    <row r="1" customFormat="false" ht="30" hidden="false" customHeight="true" outlineLevel="0" collapsed="false">
      <c r="A1" s="10" t="s">
        <v>100</v>
      </c>
      <c r="B1" s="10" t="s">
        <v>101</v>
      </c>
      <c r="C1" s="10" t="s">
        <v>102</v>
      </c>
      <c r="D1" s="10" t="s">
        <v>103</v>
      </c>
      <c r="E1" s="10" t="s">
        <v>104</v>
      </c>
      <c r="F1" s="10" t="s">
        <v>105</v>
      </c>
      <c r="G1" s="10" t="s">
        <v>106</v>
      </c>
      <c r="H1" s="10" t="s">
        <v>28</v>
      </c>
      <c r="I1" s="10" t="s">
        <v>107</v>
      </c>
      <c r="J1" s="10" t="s">
        <v>108</v>
      </c>
      <c r="K1" s="10" t="s">
        <v>109</v>
      </c>
      <c r="L1" s="10" t="s">
        <v>75</v>
      </c>
      <c r="M1" s="10" t="s">
        <v>110</v>
      </c>
      <c r="N1" s="10" t="s">
        <v>111</v>
      </c>
      <c r="O1" s="10" t="s">
        <v>112</v>
      </c>
    </row>
    <row r="2" customFormat="false" ht="97.5" hidden="false" customHeight="true" outlineLevel="0" collapsed="false">
      <c r="A2" s="11" t="s">
        <v>113</v>
      </c>
      <c r="B2" s="13" t="s">
        <v>114</v>
      </c>
      <c r="C2" s="12" t="s">
        <v>77</v>
      </c>
      <c r="D2" s="12" t="s">
        <v>115</v>
      </c>
      <c r="E2" s="12" t="s">
        <v>76</v>
      </c>
      <c r="F2" s="13" t="s">
        <v>116</v>
      </c>
      <c r="G2" s="12" t="s">
        <v>117</v>
      </c>
      <c r="H2" s="12" t="s">
        <v>118</v>
      </c>
      <c r="I2" s="12" t="s">
        <v>119</v>
      </c>
      <c r="J2" s="12" t="s">
        <v>120</v>
      </c>
      <c r="K2" s="12" t="s">
        <v>121</v>
      </c>
      <c r="L2" s="13" t="n">
        <v>5</v>
      </c>
      <c r="M2" s="17" t="s">
        <v>122</v>
      </c>
      <c r="N2" s="12" t="s">
        <v>123</v>
      </c>
      <c r="O2" s="13" t="s">
        <v>124</v>
      </c>
    </row>
    <row r="3" customFormat="false" ht="109.5" hidden="false" customHeight="true" outlineLevel="0" collapsed="false">
      <c r="A3" s="11" t="s">
        <v>125</v>
      </c>
      <c r="B3" s="13" t="s">
        <v>114</v>
      </c>
      <c r="C3" s="12" t="s">
        <v>77</v>
      </c>
      <c r="D3" s="12" t="s">
        <v>126</v>
      </c>
      <c r="E3" s="12" t="s">
        <v>76</v>
      </c>
      <c r="F3" s="13" t="s">
        <v>116</v>
      </c>
      <c r="G3" s="12" t="s">
        <v>127</v>
      </c>
      <c r="H3" s="12" t="s">
        <v>118</v>
      </c>
      <c r="I3" s="12" t="s">
        <v>128</v>
      </c>
      <c r="J3" s="12" t="s">
        <v>129</v>
      </c>
      <c r="K3" s="12" t="s">
        <v>121</v>
      </c>
      <c r="L3" s="13" t="n">
        <v>8</v>
      </c>
      <c r="M3" s="17" t="s">
        <v>122</v>
      </c>
      <c r="N3" s="12" t="s">
        <v>130</v>
      </c>
      <c r="O3" s="13" t="s">
        <v>124</v>
      </c>
    </row>
    <row r="4" customFormat="false" ht="109.5" hidden="false" customHeight="true" outlineLevel="0" collapsed="false">
      <c r="A4" s="11" t="s">
        <v>131</v>
      </c>
      <c r="B4" s="13" t="s">
        <v>114</v>
      </c>
      <c r="C4" s="12" t="s">
        <v>77</v>
      </c>
      <c r="D4" s="12" t="s">
        <v>132</v>
      </c>
      <c r="E4" s="12" t="s">
        <v>76</v>
      </c>
      <c r="F4" s="13" t="s">
        <v>116</v>
      </c>
      <c r="G4" s="12" t="s">
        <v>133</v>
      </c>
      <c r="H4" s="12" t="s">
        <v>118</v>
      </c>
      <c r="I4" s="12" t="s">
        <v>134</v>
      </c>
      <c r="J4" s="12" t="s">
        <v>135</v>
      </c>
      <c r="K4" s="12" t="s">
        <v>121</v>
      </c>
      <c r="L4" s="13" t="n">
        <v>8</v>
      </c>
      <c r="M4" s="17" t="s">
        <v>122</v>
      </c>
      <c r="N4" s="12" t="s">
        <v>125</v>
      </c>
      <c r="O4" s="13" t="s">
        <v>124</v>
      </c>
    </row>
    <row r="5" customFormat="false" ht="75" hidden="false" customHeight="true" outlineLevel="0" collapsed="false">
      <c r="A5" s="11" t="s">
        <v>136</v>
      </c>
      <c r="B5" s="13" t="s">
        <v>114</v>
      </c>
      <c r="C5" s="12" t="s">
        <v>77</v>
      </c>
      <c r="D5" s="12" t="s">
        <v>137</v>
      </c>
      <c r="E5" s="12" t="s">
        <v>76</v>
      </c>
      <c r="F5" s="13" t="s">
        <v>116</v>
      </c>
      <c r="G5" s="12" t="s">
        <v>138</v>
      </c>
      <c r="H5" s="12" t="s">
        <v>118</v>
      </c>
      <c r="I5" s="12" t="s">
        <v>139</v>
      </c>
      <c r="J5" s="12" t="s">
        <v>140</v>
      </c>
      <c r="K5" s="12" t="s">
        <v>121</v>
      </c>
      <c r="L5" s="13" t="n">
        <v>5</v>
      </c>
      <c r="M5" s="18" t="s">
        <v>141</v>
      </c>
      <c r="N5" s="12" t="s">
        <v>131</v>
      </c>
      <c r="O5" s="13" t="s">
        <v>124</v>
      </c>
    </row>
    <row r="6" customFormat="false" ht="75" hidden="false" customHeight="true" outlineLevel="0" collapsed="false">
      <c r="A6" s="11" t="s">
        <v>142</v>
      </c>
      <c r="B6" s="13" t="s">
        <v>114</v>
      </c>
      <c r="C6" s="12" t="s">
        <v>77</v>
      </c>
      <c r="D6" s="12" t="s">
        <v>143</v>
      </c>
      <c r="E6" s="12" t="s">
        <v>76</v>
      </c>
      <c r="F6" s="13" t="s">
        <v>116</v>
      </c>
      <c r="G6" s="12" t="s">
        <v>144</v>
      </c>
      <c r="H6" s="12" t="s">
        <v>118</v>
      </c>
      <c r="I6" s="12" t="s">
        <v>145</v>
      </c>
      <c r="J6" s="12" t="s">
        <v>146</v>
      </c>
      <c r="K6" s="12" t="s">
        <v>121</v>
      </c>
      <c r="L6" s="13" t="n">
        <v>5</v>
      </c>
      <c r="M6" s="18" t="s">
        <v>141</v>
      </c>
      <c r="N6" s="12" t="s">
        <v>147</v>
      </c>
      <c r="O6" s="13" t="s">
        <v>124</v>
      </c>
    </row>
    <row r="7" customFormat="false" ht="75" hidden="false" customHeight="true" outlineLevel="0" collapsed="false">
      <c r="A7" s="11" t="s">
        <v>148</v>
      </c>
      <c r="B7" s="13" t="s">
        <v>114</v>
      </c>
      <c r="C7" s="12" t="s">
        <v>77</v>
      </c>
      <c r="D7" s="12" t="s">
        <v>149</v>
      </c>
      <c r="E7" s="12" t="s">
        <v>76</v>
      </c>
      <c r="F7" s="13" t="s">
        <v>116</v>
      </c>
      <c r="G7" s="12" t="s">
        <v>150</v>
      </c>
      <c r="H7" s="12" t="s">
        <v>118</v>
      </c>
      <c r="I7" s="12" t="s">
        <v>151</v>
      </c>
      <c r="J7" s="12" t="s">
        <v>152</v>
      </c>
      <c r="K7" s="12" t="s">
        <v>121</v>
      </c>
      <c r="L7" s="13" t="n">
        <v>8</v>
      </c>
      <c r="M7" s="18" t="s">
        <v>141</v>
      </c>
      <c r="N7" s="12" t="s">
        <v>153</v>
      </c>
      <c r="O7" s="13" t="s">
        <v>124</v>
      </c>
    </row>
    <row r="8" customFormat="false" ht="86.25" hidden="false" customHeight="true" outlineLevel="0" collapsed="false">
      <c r="A8" s="11" t="s">
        <v>154</v>
      </c>
      <c r="B8" s="13" t="s">
        <v>114</v>
      </c>
      <c r="C8" s="12" t="s">
        <v>77</v>
      </c>
      <c r="D8" s="12" t="s">
        <v>155</v>
      </c>
      <c r="E8" s="12" t="s">
        <v>76</v>
      </c>
      <c r="F8" s="13" t="s">
        <v>156</v>
      </c>
      <c r="G8" s="12" t="s">
        <v>118</v>
      </c>
      <c r="H8" s="12" t="s">
        <v>118</v>
      </c>
      <c r="I8" s="12" t="s">
        <v>157</v>
      </c>
      <c r="J8" s="12" t="s">
        <v>158</v>
      </c>
      <c r="K8" s="12" t="s">
        <v>121</v>
      </c>
      <c r="L8" s="13" t="n">
        <v>8</v>
      </c>
      <c r="M8" s="17" t="s">
        <v>122</v>
      </c>
      <c r="N8" s="12" t="s">
        <v>159</v>
      </c>
      <c r="O8" s="13" t="s">
        <v>124</v>
      </c>
    </row>
    <row r="9" customFormat="false" ht="51.75" hidden="false" customHeight="true" outlineLevel="0" collapsed="false">
      <c r="A9" s="11" t="s">
        <v>160</v>
      </c>
      <c r="B9" s="13" t="s">
        <v>114</v>
      </c>
      <c r="C9" s="12" t="s">
        <v>77</v>
      </c>
      <c r="D9" s="12" t="s">
        <v>161</v>
      </c>
      <c r="E9" s="12" t="s">
        <v>76</v>
      </c>
      <c r="F9" s="13" t="s">
        <v>156</v>
      </c>
      <c r="G9" s="12" t="s">
        <v>118</v>
      </c>
      <c r="H9" s="12" t="s">
        <v>118</v>
      </c>
      <c r="I9" s="12" t="s">
        <v>162</v>
      </c>
      <c r="J9" s="12" t="s">
        <v>163</v>
      </c>
      <c r="K9" s="12" t="s">
        <v>121</v>
      </c>
      <c r="L9" s="13" t="n">
        <v>5</v>
      </c>
      <c r="M9" s="18" t="s">
        <v>141</v>
      </c>
      <c r="N9" s="12" t="s">
        <v>154</v>
      </c>
      <c r="O9" s="13" t="s">
        <v>124</v>
      </c>
    </row>
    <row r="10" customFormat="false" ht="75" hidden="false" customHeight="true" outlineLevel="0" collapsed="false">
      <c r="A10" s="11" t="s">
        <v>164</v>
      </c>
      <c r="B10" s="13" t="s">
        <v>114</v>
      </c>
      <c r="C10" s="12" t="s">
        <v>165</v>
      </c>
      <c r="D10" s="12" t="s">
        <v>166</v>
      </c>
      <c r="E10" s="12" t="s">
        <v>80</v>
      </c>
      <c r="F10" s="13" t="s">
        <v>156</v>
      </c>
      <c r="G10" s="12" t="s">
        <v>167</v>
      </c>
      <c r="H10" s="12" t="s">
        <v>118</v>
      </c>
      <c r="I10" s="12" t="s">
        <v>168</v>
      </c>
      <c r="J10" s="12" t="s">
        <v>169</v>
      </c>
      <c r="K10" s="12" t="s">
        <v>121</v>
      </c>
      <c r="L10" s="13" t="n">
        <v>8</v>
      </c>
      <c r="M10" s="17" t="s">
        <v>122</v>
      </c>
      <c r="N10" s="12" t="s">
        <v>170</v>
      </c>
      <c r="O10" s="13" t="s">
        <v>124</v>
      </c>
    </row>
    <row r="11" customFormat="false" ht="75" hidden="false" customHeight="true" outlineLevel="0" collapsed="false">
      <c r="A11" s="11" t="s">
        <v>171</v>
      </c>
      <c r="B11" s="13" t="s">
        <v>114</v>
      </c>
      <c r="C11" s="12" t="s">
        <v>165</v>
      </c>
      <c r="D11" s="12" t="s">
        <v>172</v>
      </c>
      <c r="E11" s="12" t="s">
        <v>80</v>
      </c>
      <c r="F11" s="13" t="s">
        <v>156</v>
      </c>
      <c r="G11" s="12" t="s">
        <v>173</v>
      </c>
      <c r="H11" s="12" t="s">
        <v>118</v>
      </c>
      <c r="I11" s="12" t="s">
        <v>174</v>
      </c>
      <c r="J11" s="12" t="s">
        <v>175</v>
      </c>
      <c r="K11" s="12" t="s">
        <v>121</v>
      </c>
      <c r="L11" s="13" t="n">
        <v>5</v>
      </c>
      <c r="M11" s="18" t="s">
        <v>141</v>
      </c>
      <c r="N11" s="12" t="s">
        <v>164</v>
      </c>
      <c r="O11" s="13" t="s">
        <v>124</v>
      </c>
    </row>
    <row r="12" customFormat="false" ht="120.75" hidden="false" customHeight="true" outlineLevel="0" collapsed="false">
      <c r="A12" s="11" t="s">
        <v>176</v>
      </c>
      <c r="B12" s="13" t="s">
        <v>114</v>
      </c>
      <c r="C12" s="12" t="s">
        <v>165</v>
      </c>
      <c r="D12" s="12" t="s">
        <v>177</v>
      </c>
      <c r="E12" s="12" t="s">
        <v>80</v>
      </c>
      <c r="F12" s="13" t="s">
        <v>156</v>
      </c>
      <c r="G12" s="12" t="s">
        <v>118</v>
      </c>
      <c r="H12" s="12" t="s">
        <v>118</v>
      </c>
      <c r="I12" s="12" t="s">
        <v>178</v>
      </c>
      <c r="J12" s="12" t="s">
        <v>179</v>
      </c>
      <c r="K12" s="12" t="s">
        <v>121</v>
      </c>
      <c r="L12" s="13" t="n">
        <v>8</v>
      </c>
      <c r="M12" s="17" t="s">
        <v>122</v>
      </c>
      <c r="N12" s="12" t="s">
        <v>180</v>
      </c>
      <c r="O12" s="13" t="s">
        <v>124</v>
      </c>
    </row>
    <row r="13" customFormat="false" ht="75" hidden="false" customHeight="true" outlineLevel="0" collapsed="false">
      <c r="A13" s="11" t="s">
        <v>181</v>
      </c>
      <c r="B13" s="13" t="s">
        <v>114</v>
      </c>
      <c r="C13" s="12" t="s">
        <v>165</v>
      </c>
      <c r="D13" s="12" t="s">
        <v>182</v>
      </c>
      <c r="E13" s="12" t="s">
        <v>80</v>
      </c>
      <c r="F13" s="13" t="s">
        <v>156</v>
      </c>
      <c r="G13" s="12" t="s">
        <v>183</v>
      </c>
      <c r="H13" s="12" t="s">
        <v>118</v>
      </c>
      <c r="I13" s="12" t="s">
        <v>184</v>
      </c>
      <c r="J13" s="12" t="s">
        <v>185</v>
      </c>
      <c r="K13" s="12" t="s">
        <v>121</v>
      </c>
      <c r="L13" s="13" t="n">
        <v>5</v>
      </c>
      <c r="M13" s="18" t="s">
        <v>141</v>
      </c>
      <c r="N13" s="12" t="s">
        <v>186</v>
      </c>
      <c r="O13" s="13" t="s">
        <v>124</v>
      </c>
    </row>
    <row r="14" customFormat="false" ht="63" hidden="false" customHeight="true" outlineLevel="0" collapsed="false">
      <c r="A14" s="11" t="s">
        <v>187</v>
      </c>
      <c r="B14" s="13" t="s">
        <v>114</v>
      </c>
      <c r="C14" s="12" t="s">
        <v>165</v>
      </c>
      <c r="D14" s="12" t="s">
        <v>188</v>
      </c>
      <c r="E14" s="12" t="s">
        <v>80</v>
      </c>
      <c r="F14" s="13" t="s">
        <v>87</v>
      </c>
      <c r="G14" s="12" t="s">
        <v>118</v>
      </c>
      <c r="H14" s="12" t="s">
        <v>118</v>
      </c>
      <c r="I14" s="12" t="s">
        <v>189</v>
      </c>
      <c r="J14" s="12" t="s">
        <v>190</v>
      </c>
      <c r="K14" s="12" t="s">
        <v>121</v>
      </c>
      <c r="L14" s="13" t="n">
        <v>5</v>
      </c>
      <c r="M14" s="17" t="s">
        <v>122</v>
      </c>
      <c r="N14" s="12" t="s">
        <v>191</v>
      </c>
      <c r="O14" s="13" t="s">
        <v>124</v>
      </c>
    </row>
    <row r="15" customFormat="false" ht="75" hidden="false" customHeight="true" outlineLevel="0" collapsed="false">
      <c r="A15" s="11" t="s">
        <v>192</v>
      </c>
      <c r="B15" s="13" t="s">
        <v>114</v>
      </c>
      <c r="C15" s="12" t="s">
        <v>193</v>
      </c>
      <c r="D15" s="12" t="s">
        <v>194</v>
      </c>
      <c r="E15" s="12" t="s">
        <v>84</v>
      </c>
      <c r="F15" s="13" t="s">
        <v>87</v>
      </c>
      <c r="G15" s="12" t="s">
        <v>195</v>
      </c>
      <c r="H15" s="12" t="s">
        <v>118</v>
      </c>
      <c r="I15" s="12" t="s">
        <v>196</v>
      </c>
      <c r="J15" s="12" t="s">
        <v>197</v>
      </c>
      <c r="K15" s="12" t="s">
        <v>121</v>
      </c>
      <c r="L15" s="13" t="n">
        <v>8</v>
      </c>
      <c r="M15" s="17" t="s">
        <v>122</v>
      </c>
      <c r="N15" s="12" t="s">
        <v>176</v>
      </c>
      <c r="O15" s="13" t="s">
        <v>124</v>
      </c>
    </row>
    <row r="16" customFormat="false" ht="86.25" hidden="false" customHeight="true" outlineLevel="0" collapsed="false">
      <c r="A16" s="11" t="s">
        <v>198</v>
      </c>
      <c r="B16" s="13" t="s">
        <v>114</v>
      </c>
      <c r="C16" s="12" t="s">
        <v>193</v>
      </c>
      <c r="D16" s="12" t="s">
        <v>199</v>
      </c>
      <c r="E16" s="12" t="s">
        <v>84</v>
      </c>
      <c r="F16" s="13" t="s">
        <v>87</v>
      </c>
      <c r="G16" s="12" t="s">
        <v>200</v>
      </c>
      <c r="H16" s="12" t="s">
        <v>118</v>
      </c>
      <c r="I16" s="12" t="s">
        <v>201</v>
      </c>
      <c r="J16" s="12" t="s">
        <v>202</v>
      </c>
      <c r="K16" s="12" t="s">
        <v>121</v>
      </c>
      <c r="L16" s="13" t="n">
        <v>5</v>
      </c>
      <c r="M16" s="18" t="s">
        <v>141</v>
      </c>
      <c r="N16" s="12" t="s">
        <v>192</v>
      </c>
      <c r="O16" s="13" t="s">
        <v>124</v>
      </c>
    </row>
    <row r="17" customFormat="false" ht="97.5" hidden="false" customHeight="true" outlineLevel="0" collapsed="false">
      <c r="A17" s="11" t="s">
        <v>203</v>
      </c>
      <c r="B17" s="13" t="s">
        <v>114</v>
      </c>
      <c r="C17" s="12" t="s">
        <v>193</v>
      </c>
      <c r="D17" s="12" t="s">
        <v>204</v>
      </c>
      <c r="E17" s="12" t="s">
        <v>84</v>
      </c>
      <c r="F17" s="13" t="s">
        <v>87</v>
      </c>
      <c r="G17" s="12" t="s">
        <v>205</v>
      </c>
      <c r="H17" s="12" t="s">
        <v>118</v>
      </c>
      <c r="I17" s="12" t="s">
        <v>206</v>
      </c>
      <c r="J17" s="12" t="s">
        <v>207</v>
      </c>
      <c r="K17" s="12" t="s">
        <v>121</v>
      </c>
      <c r="L17" s="13" t="n">
        <v>8</v>
      </c>
      <c r="M17" s="17" t="s">
        <v>122</v>
      </c>
      <c r="N17" s="12" t="s">
        <v>208</v>
      </c>
      <c r="O17" s="13" t="s">
        <v>124</v>
      </c>
    </row>
    <row r="18" customFormat="false" ht="75" hidden="false" customHeight="true" outlineLevel="0" collapsed="false">
      <c r="A18" s="11" t="s">
        <v>209</v>
      </c>
      <c r="B18" s="13" t="s">
        <v>114</v>
      </c>
      <c r="C18" s="12" t="s">
        <v>193</v>
      </c>
      <c r="D18" s="12" t="s">
        <v>210</v>
      </c>
      <c r="E18" s="12" t="s">
        <v>84</v>
      </c>
      <c r="F18" s="13" t="s">
        <v>87</v>
      </c>
      <c r="G18" s="12" t="s">
        <v>118</v>
      </c>
      <c r="H18" s="12" t="s">
        <v>118</v>
      </c>
      <c r="I18" s="12" t="s">
        <v>211</v>
      </c>
      <c r="J18" s="12" t="s">
        <v>212</v>
      </c>
      <c r="K18" s="12" t="s">
        <v>121</v>
      </c>
      <c r="L18" s="13" t="n">
        <v>5</v>
      </c>
      <c r="M18" s="17" t="s">
        <v>122</v>
      </c>
      <c r="N18" s="12" t="s">
        <v>203</v>
      </c>
      <c r="O18" s="13" t="s">
        <v>124</v>
      </c>
    </row>
    <row r="19" customFormat="false" ht="51.75" hidden="false" customHeight="true" outlineLevel="0" collapsed="false">
      <c r="A19" s="11" t="s">
        <v>213</v>
      </c>
      <c r="B19" s="13" t="s">
        <v>114</v>
      </c>
      <c r="C19" s="12" t="s">
        <v>193</v>
      </c>
      <c r="D19" s="12" t="s">
        <v>214</v>
      </c>
      <c r="E19" s="12" t="s">
        <v>84</v>
      </c>
      <c r="F19" s="13" t="s">
        <v>87</v>
      </c>
      <c r="G19" s="12" t="s">
        <v>118</v>
      </c>
      <c r="H19" s="12" t="s">
        <v>118</v>
      </c>
      <c r="I19" s="12" t="s">
        <v>215</v>
      </c>
      <c r="J19" s="12" t="s">
        <v>216</v>
      </c>
      <c r="K19" s="12" t="s">
        <v>121</v>
      </c>
      <c r="L19" s="13" t="n">
        <v>3</v>
      </c>
      <c r="M19" s="19" t="s">
        <v>217</v>
      </c>
      <c r="N19" s="12" t="s">
        <v>203</v>
      </c>
      <c r="O19" s="13" t="s">
        <v>124</v>
      </c>
    </row>
    <row r="20" customFormat="false" ht="75" hidden="false" customHeight="true" outlineLevel="0" collapsed="false">
      <c r="A20" s="11" t="s">
        <v>218</v>
      </c>
      <c r="B20" s="13" t="s">
        <v>114</v>
      </c>
      <c r="C20" s="12" t="s">
        <v>219</v>
      </c>
      <c r="D20" s="12" t="s">
        <v>220</v>
      </c>
      <c r="E20" s="12" t="s">
        <v>88</v>
      </c>
      <c r="F20" s="13" t="s">
        <v>87</v>
      </c>
      <c r="G20" s="12" t="s">
        <v>221</v>
      </c>
      <c r="H20" s="12" t="s">
        <v>118</v>
      </c>
      <c r="I20" s="12" t="s">
        <v>222</v>
      </c>
      <c r="J20" s="12" t="s">
        <v>223</v>
      </c>
      <c r="K20" s="12" t="s">
        <v>121</v>
      </c>
      <c r="L20" s="13" t="n">
        <v>5</v>
      </c>
      <c r="M20" s="17" t="s">
        <v>122</v>
      </c>
      <c r="N20" s="12" t="s">
        <v>154</v>
      </c>
      <c r="O20" s="13" t="s">
        <v>124</v>
      </c>
    </row>
    <row r="21" customFormat="false" ht="75" hidden="false" customHeight="true" outlineLevel="0" collapsed="false">
      <c r="A21" s="11" t="s">
        <v>224</v>
      </c>
      <c r="B21" s="13" t="s">
        <v>114</v>
      </c>
      <c r="C21" s="12" t="s">
        <v>219</v>
      </c>
      <c r="D21" s="12" t="s">
        <v>225</v>
      </c>
      <c r="E21" s="12" t="s">
        <v>88</v>
      </c>
      <c r="F21" s="13" t="s">
        <v>87</v>
      </c>
      <c r="G21" s="12" t="s">
        <v>118</v>
      </c>
      <c r="H21" s="12" t="s">
        <v>118</v>
      </c>
      <c r="I21" s="12" t="s">
        <v>226</v>
      </c>
      <c r="J21" s="12" t="s">
        <v>227</v>
      </c>
      <c r="K21" s="12" t="s">
        <v>121</v>
      </c>
      <c r="L21" s="13" t="n">
        <v>5</v>
      </c>
      <c r="M21" s="17" t="s">
        <v>122</v>
      </c>
      <c r="N21" s="12" t="s">
        <v>228</v>
      </c>
      <c r="O21" s="13" t="s">
        <v>124</v>
      </c>
    </row>
    <row r="22" customFormat="false" ht="97.5" hidden="false" customHeight="true" outlineLevel="0" collapsed="false">
      <c r="A22" s="11" t="s">
        <v>229</v>
      </c>
      <c r="B22" s="13" t="s">
        <v>114</v>
      </c>
      <c r="C22" s="12" t="s">
        <v>219</v>
      </c>
      <c r="D22" s="12" t="s">
        <v>230</v>
      </c>
      <c r="E22" s="12" t="s">
        <v>88</v>
      </c>
      <c r="F22" s="13" t="s">
        <v>87</v>
      </c>
      <c r="G22" s="12" t="s">
        <v>231</v>
      </c>
      <c r="H22" s="12" t="s">
        <v>118</v>
      </c>
      <c r="I22" s="12" t="s">
        <v>232</v>
      </c>
      <c r="J22" s="12" t="s">
        <v>233</v>
      </c>
      <c r="K22" s="12" t="s">
        <v>121</v>
      </c>
      <c r="L22" s="13" t="n">
        <v>8</v>
      </c>
      <c r="M22" s="17" t="s">
        <v>122</v>
      </c>
      <c r="N22" s="12" t="s">
        <v>234</v>
      </c>
      <c r="O22" s="13" t="s">
        <v>124</v>
      </c>
    </row>
    <row r="23" customFormat="false" ht="86.25" hidden="false" customHeight="true" outlineLevel="0" collapsed="false">
      <c r="A23" s="11" t="s">
        <v>235</v>
      </c>
      <c r="B23" s="13" t="s">
        <v>114</v>
      </c>
      <c r="C23" s="12" t="s">
        <v>219</v>
      </c>
      <c r="D23" s="12" t="s">
        <v>236</v>
      </c>
      <c r="E23" s="12" t="s">
        <v>88</v>
      </c>
      <c r="F23" s="13" t="s">
        <v>237</v>
      </c>
      <c r="G23" s="12" t="s">
        <v>238</v>
      </c>
      <c r="H23" s="12" t="s">
        <v>118</v>
      </c>
      <c r="I23" s="12" t="s">
        <v>239</v>
      </c>
      <c r="J23" s="12" t="s">
        <v>240</v>
      </c>
      <c r="K23" s="12" t="s">
        <v>121</v>
      </c>
      <c r="L23" s="13" t="n">
        <v>8</v>
      </c>
      <c r="M23" s="17" t="s">
        <v>122</v>
      </c>
      <c r="N23" s="12" t="s">
        <v>241</v>
      </c>
      <c r="O23" s="13" t="s">
        <v>124</v>
      </c>
    </row>
    <row r="24" customFormat="false" ht="75" hidden="false" customHeight="true" outlineLevel="0" collapsed="false">
      <c r="A24" s="11" t="s">
        <v>242</v>
      </c>
      <c r="B24" s="13" t="s">
        <v>114</v>
      </c>
      <c r="C24" s="12" t="s">
        <v>219</v>
      </c>
      <c r="D24" s="12" t="s">
        <v>243</v>
      </c>
      <c r="E24" s="12" t="s">
        <v>88</v>
      </c>
      <c r="F24" s="13" t="s">
        <v>237</v>
      </c>
      <c r="G24" s="12" t="s">
        <v>118</v>
      </c>
      <c r="H24" s="12" t="s">
        <v>118</v>
      </c>
      <c r="I24" s="12" t="s">
        <v>244</v>
      </c>
      <c r="J24" s="12" t="s">
        <v>245</v>
      </c>
      <c r="K24" s="12" t="s">
        <v>121</v>
      </c>
      <c r="L24" s="13" t="n">
        <v>5</v>
      </c>
      <c r="M24" s="17" t="s">
        <v>122</v>
      </c>
      <c r="N24" s="12" t="s">
        <v>235</v>
      </c>
      <c r="O24" s="13" t="s">
        <v>124</v>
      </c>
    </row>
    <row r="25" customFormat="false" ht="75" hidden="false" customHeight="true" outlineLevel="0" collapsed="false">
      <c r="A25" s="11" t="s">
        <v>246</v>
      </c>
      <c r="B25" s="13" t="s">
        <v>114</v>
      </c>
      <c r="C25" s="12" t="s">
        <v>219</v>
      </c>
      <c r="D25" s="12" t="s">
        <v>247</v>
      </c>
      <c r="E25" s="12" t="s">
        <v>88</v>
      </c>
      <c r="F25" s="13" t="s">
        <v>237</v>
      </c>
      <c r="G25" s="12" t="s">
        <v>118</v>
      </c>
      <c r="H25" s="12" t="s">
        <v>248</v>
      </c>
      <c r="I25" s="12" t="s">
        <v>249</v>
      </c>
      <c r="J25" s="12" t="s">
        <v>250</v>
      </c>
      <c r="K25" s="12" t="s">
        <v>121</v>
      </c>
      <c r="L25" s="13" t="n">
        <v>5</v>
      </c>
      <c r="M25" s="18" t="s">
        <v>141</v>
      </c>
      <c r="N25" s="12" t="s">
        <v>242</v>
      </c>
      <c r="O25" s="13" t="s">
        <v>124</v>
      </c>
    </row>
    <row r="26" customFormat="false" ht="51.75" hidden="false" customHeight="true" outlineLevel="0" collapsed="false">
      <c r="A26" s="11" t="s">
        <v>251</v>
      </c>
      <c r="B26" s="13" t="s">
        <v>114</v>
      </c>
      <c r="C26" s="12" t="s">
        <v>219</v>
      </c>
      <c r="D26" s="12" t="s">
        <v>252</v>
      </c>
      <c r="E26" s="12" t="s">
        <v>88</v>
      </c>
      <c r="F26" s="13" t="s">
        <v>237</v>
      </c>
      <c r="G26" s="12" t="s">
        <v>118</v>
      </c>
      <c r="H26" s="12" t="s">
        <v>118</v>
      </c>
      <c r="I26" s="12" t="s">
        <v>253</v>
      </c>
      <c r="J26" s="12" t="s">
        <v>254</v>
      </c>
      <c r="K26" s="12" t="s">
        <v>121</v>
      </c>
      <c r="L26" s="13" t="n">
        <v>5</v>
      </c>
      <c r="M26" s="18" t="s">
        <v>141</v>
      </c>
      <c r="N26" s="12" t="s">
        <v>235</v>
      </c>
      <c r="O26" s="13" t="s">
        <v>124</v>
      </c>
    </row>
    <row r="27" customFormat="false" ht="75" hidden="false" customHeight="true" outlineLevel="0" collapsed="false">
      <c r="A27" s="11" t="s">
        <v>255</v>
      </c>
      <c r="B27" s="13" t="s">
        <v>114</v>
      </c>
      <c r="C27" s="12" t="s">
        <v>219</v>
      </c>
      <c r="D27" s="12" t="s">
        <v>256</v>
      </c>
      <c r="E27" s="12" t="s">
        <v>88</v>
      </c>
      <c r="F27" s="13" t="s">
        <v>237</v>
      </c>
      <c r="G27" s="12" t="s">
        <v>118</v>
      </c>
      <c r="H27" s="12" t="s">
        <v>118</v>
      </c>
      <c r="I27" s="12" t="s">
        <v>257</v>
      </c>
      <c r="J27" s="12" t="s">
        <v>258</v>
      </c>
      <c r="K27" s="12" t="s">
        <v>121</v>
      </c>
      <c r="L27" s="13" t="n">
        <v>5</v>
      </c>
      <c r="M27" s="18" t="s">
        <v>141</v>
      </c>
      <c r="N27" s="12" t="s">
        <v>235</v>
      </c>
      <c r="O27" s="13" t="s">
        <v>124</v>
      </c>
    </row>
    <row r="28" customFormat="false" ht="63" hidden="false" customHeight="true" outlineLevel="0" collapsed="false">
      <c r="A28" s="14" t="s">
        <v>259</v>
      </c>
      <c r="B28" s="16" t="s">
        <v>260</v>
      </c>
      <c r="C28" s="15" t="s">
        <v>261</v>
      </c>
      <c r="D28" s="15" t="s">
        <v>262</v>
      </c>
      <c r="E28" s="15" t="s">
        <v>92</v>
      </c>
      <c r="F28" s="16" t="s">
        <v>156</v>
      </c>
      <c r="G28" s="15" t="s">
        <v>118</v>
      </c>
      <c r="H28" s="15" t="s">
        <v>118</v>
      </c>
      <c r="I28" s="15" t="s">
        <v>263</v>
      </c>
      <c r="J28" s="15" t="s">
        <v>264</v>
      </c>
      <c r="K28" s="15" t="s">
        <v>121</v>
      </c>
      <c r="L28" s="16" t="n">
        <v>5</v>
      </c>
      <c r="M28" s="17" t="s">
        <v>122</v>
      </c>
      <c r="N28" s="15" t="s">
        <v>265</v>
      </c>
      <c r="O28" s="16" t="s">
        <v>124</v>
      </c>
    </row>
    <row r="29" customFormat="false" ht="75" hidden="false" customHeight="true" outlineLevel="0" collapsed="false">
      <c r="A29" s="14" t="s">
        <v>266</v>
      </c>
      <c r="B29" s="16" t="s">
        <v>260</v>
      </c>
      <c r="C29" s="15" t="s">
        <v>261</v>
      </c>
      <c r="D29" s="15" t="s">
        <v>267</v>
      </c>
      <c r="E29" s="15" t="s">
        <v>92</v>
      </c>
      <c r="F29" s="16" t="s">
        <v>156</v>
      </c>
      <c r="G29" s="15" t="s">
        <v>118</v>
      </c>
      <c r="H29" s="15" t="s">
        <v>118</v>
      </c>
      <c r="I29" s="15" t="s">
        <v>268</v>
      </c>
      <c r="J29" s="15" t="s">
        <v>269</v>
      </c>
      <c r="K29" s="15" t="s">
        <v>121</v>
      </c>
      <c r="L29" s="16" t="n">
        <v>5</v>
      </c>
      <c r="M29" s="18" t="s">
        <v>141</v>
      </c>
      <c r="N29" s="15" t="s">
        <v>259</v>
      </c>
      <c r="O29" s="16" t="s">
        <v>124</v>
      </c>
    </row>
    <row r="30" customFormat="false" ht="51.75" hidden="false" customHeight="true" outlineLevel="0" collapsed="false">
      <c r="A30" s="14" t="s">
        <v>270</v>
      </c>
      <c r="B30" s="16" t="s">
        <v>260</v>
      </c>
      <c r="C30" s="15" t="s">
        <v>261</v>
      </c>
      <c r="D30" s="15" t="s">
        <v>271</v>
      </c>
      <c r="E30" s="15" t="s">
        <v>92</v>
      </c>
      <c r="F30" s="16" t="s">
        <v>156</v>
      </c>
      <c r="G30" s="15" t="s">
        <v>118</v>
      </c>
      <c r="H30" s="15" t="s">
        <v>118</v>
      </c>
      <c r="I30" s="15" t="s">
        <v>272</v>
      </c>
      <c r="J30" s="15" t="s">
        <v>273</v>
      </c>
      <c r="K30" s="15" t="s">
        <v>121</v>
      </c>
      <c r="L30" s="16" t="n">
        <v>3</v>
      </c>
      <c r="M30" s="17" t="s">
        <v>122</v>
      </c>
      <c r="N30" s="15" t="s">
        <v>259</v>
      </c>
      <c r="O30" s="16" t="s">
        <v>124</v>
      </c>
    </row>
    <row r="31" customFormat="false" ht="40.5" hidden="false" customHeight="true" outlineLevel="0" collapsed="false">
      <c r="A31" s="14" t="s">
        <v>274</v>
      </c>
      <c r="B31" s="16" t="s">
        <v>260</v>
      </c>
      <c r="C31" s="15" t="s">
        <v>261</v>
      </c>
      <c r="D31" s="15" t="s">
        <v>275</v>
      </c>
      <c r="E31" s="15" t="s">
        <v>92</v>
      </c>
      <c r="F31" s="16" t="s">
        <v>156</v>
      </c>
      <c r="G31" s="15" t="s">
        <v>118</v>
      </c>
      <c r="H31" s="15" t="s">
        <v>118</v>
      </c>
      <c r="I31" s="15" t="s">
        <v>276</v>
      </c>
      <c r="J31" s="15" t="s">
        <v>277</v>
      </c>
      <c r="K31" s="15" t="s">
        <v>121</v>
      </c>
      <c r="L31" s="16" t="n">
        <v>3</v>
      </c>
      <c r="M31" s="19" t="s">
        <v>217</v>
      </c>
      <c r="N31" s="15" t="s">
        <v>259</v>
      </c>
      <c r="O31" s="16" t="s">
        <v>124</v>
      </c>
    </row>
    <row r="32" customFormat="false" ht="51.75" hidden="false" customHeight="true" outlineLevel="0" collapsed="false">
      <c r="A32" s="14" t="s">
        <v>278</v>
      </c>
      <c r="B32" s="16" t="s">
        <v>260</v>
      </c>
      <c r="C32" s="15" t="s">
        <v>261</v>
      </c>
      <c r="D32" s="15" t="s">
        <v>279</v>
      </c>
      <c r="E32" s="15" t="s">
        <v>92</v>
      </c>
      <c r="F32" s="16" t="s">
        <v>156</v>
      </c>
      <c r="G32" s="15" t="s">
        <v>118</v>
      </c>
      <c r="H32" s="15" t="s">
        <v>118</v>
      </c>
      <c r="I32" s="15" t="s">
        <v>280</v>
      </c>
      <c r="J32" s="15" t="s">
        <v>281</v>
      </c>
      <c r="K32" s="15" t="s">
        <v>121</v>
      </c>
      <c r="L32" s="16" t="n">
        <v>5</v>
      </c>
      <c r="M32" s="17" t="s">
        <v>122</v>
      </c>
      <c r="N32" s="15" t="s">
        <v>282</v>
      </c>
      <c r="O32" s="16" t="s">
        <v>124</v>
      </c>
    </row>
    <row r="33" customFormat="false" ht="86.25" hidden="false" customHeight="true" outlineLevel="0" collapsed="false">
      <c r="A33" s="14" t="s">
        <v>283</v>
      </c>
      <c r="B33" s="16" t="s">
        <v>260</v>
      </c>
      <c r="C33" s="15" t="s">
        <v>261</v>
      </c>
      <c r="D33" s="15" t="s">
        <v>284</v>
      </c>
      <c r="E33" s="15" t="s">
        <v>92</v>
      </c>
      <c r="F33" s="16" t="s">
        <v>156</v>
      </c>
      <c r="G33" s="15" t="s">
        <v>118</v>
      </c>
      <c r="H33" s="15" t="s">
        <v>118</v>
      </c>
      <c r="I33" s="15" t="s">
        <v>285</v>
      </c>
      <c r="J33" s="15" t="s">
        <v>286</v>
      </c>
      <c r="K33" s="15" t="s">
        <v>121</v>
      </c>
      <c r="L33" s="16" t="n">
        <v>5</v>
      </c>
      <c r="M33" s="17" t="s">
        <v>122</v>
      </c>
      <c r="N33" s="15" t="s">
        <v>287</v>
      </c>
      <c r="O33" s="16" t="s">
        <v>124</v>
      </c>
    </row>
    <row r="34" customFormat="false" ht="63" hidden="false" customHeight="true" outlineLevel="0" collapsed="false">
      <c r="A34" s="14" t="s">
        <v>288</v>
      </c>
      <c r="B34" s="16" t="s">
        <v>260</v>
      </c>
      <c r="C34" s="15" t="s">
        <v>261</v>
      </c>
      <c r="D34" s="15" t="s">
        <v>289</v>
      </c>
      <c r="E34" s="15" t="s">
        <v>92</v>
      </c>
      <c r="F34" s="16" t="s">
        <v>156</v>
      </c>
      <c r="G34" s="15" t="s">
        <v>118</v>
      </c>
      <c r="H34" s="15" t="s">
        <v>118</v>
      </c>
      <c r="I34" s="15" t="s">
        <v>290</v>
      </c>
      <c r="J34" s="15" t="s">
        <v>291</v>
      </c>
      <c r="K34" s="15" t="s">
        <v>121</v>
      </c>
      <c r="L34" s="16" t="n">
        <v>5</v>
      </c>
      <c r="M34" s="18" t="s">
        <v>141</v>
      </c>
      <c r="N34" s="15" t="s">
        <v>283</v>
      </c>
      <c r="O34" s="16" t="s">
        <v>124</v>
      </c>
    </row>
    <row r="35" customFormat="false" ht="63" hidden="false" customHeight="true" outlineLevel="0" collapsed="false">
      <c r="A35" s="14" t="s">
        <v>292</v>
      </c>
      <c r="B35" s="16" t="s">
        <v>260</v>
      </c>
      <c r="C35" s="15" t="s">
        <v>261</v>
      </c>
      <c r="D35" s="15" t="s">
        <v>293</v>
      </c>
      <c r="E35" s="15" t="s">
        <v>92</v>
      </c>
      <c r="F35" s="16" t="s">
        <v>87</v>
      </c>
      <c r="G35" s="15" t="s">
        <v>118</v>
      </c>
      <c r="H35" s="15" t="s">
        <v>118</v>
      </c>
      <c r="I35" s="15" t="s">
        <v>294</v>
      </c>
      <c r="J35" s="15" t="s">
        <v>295</v>
      </c>
      <c r="K35" s="15" t="s">
        <v>121</v>
      </c>
      <c r="L35" s="16" t="n">
        <v>5</v>
      </c>
      <c r="M35" s="18" t="s">
        <v>141</v>
      </c>
      <c r="N35" s="15" t="s">
        <v>203</v>
      </c>
      <c r="O35" s="16" t="s">
        <v>124</v>
      </c>
    </row>
    <row r="36" customFormat="false" ht="28.5" hidden="false" customHeight="true" outlineLevel="0" collapsed="false">
      <c r="A36" s="14" t="s">
        <v>296</v>
      </c>
      <c r="B36" s="16" t="s">
        <v>260</v>
      </c>
      <c r="C36" s="15" t="s">
        <v>261</v>
      </c>
      <c r="D36" s="15" t="s">
        <v>297</v>
      </c>
      <c r="E36" s="15" t="s">
        <v>92</v>
      </c>
      <c r="F36" s="16" t="s">
        <v>87</v>
      </c>
      <c r="G36" s="15" t="s">
        <v>118</v>
      </c>
      <c r="H36" s="15" t="s">
        <v>118</v>
      </c>
      <c r="I36" s="15" t="s">
        <v>298</v>
      </c>
      <c r="J36" s="15" t="s">
        <v>299</v>
      </c>
      <c r="K36" s="15" t="s">
        <v>121</v>
      </c>
      <c r="L36" s="16" t="n">
        <v>3</v>
      </c>
      <c r="M36" s="19" t="s">
        <v>217</v>
      </c>
      <c r="N36" s="15" t="s">
        <v>113</v>
      </c>
      <c r="O36" s="16" t="s">
        <v>124</v>
      </c>
    </row>
    <row r="37" customFormat="false" ht="97.5" hidden="false" customHeight="true" outlineLevel="0" collapsed="false">
      <c r="A37" s="14" t="s">
        <v>300</v>
      </c>
      <c r="B37" s="16" t="s">
        <v>260</v>
      </c>
      <c r="C37" s="15" t="s">
        <v>261</v>
      </c>
      <c r="D37" s="15" t="s">
        <v>301</v>
      </c>
      <c r="E37" s="15" t="s">
        <v>92</v>
      </c>
      <c r="F37" s="16" t="s">
        <v>87</v>
      </c>
      <c r="G37" s="15" t="s">
        <v>118</v>
      </c>
      <c r="H37" s="15" t="s">
        <v>118</v>
      </c>
      <c r="I37" s="15" t="s">
        <v>302</v>
      </c>
      <c r="J37" s="15" t="s">
        <v>303</v>
      </c>
      <c r="K37" s="15" t="s">
        <v>121</v>
      </c>
      <c r="L37" s="16" t="n">
        <v>8</v>
      </c>
      <c r="M37" s="17" t="s">
        <v>122</v>
      </c>
      <c r="N37" s="15" t="s">
        <v>224</v>
      </c>
      <c r="O37" s="16" t="s">
        <v>124</v>
      </c>
    </row>
    <row r="38" customFormat="false" ht="63" hidden="false" customHeight="true" outlineLevel="0" collapsed="false">
      <c r="A38" s="14" t="s">
        <v>304</v>
      </c>
      <c r="B38" s="16" t="s">
        <v>260</v>
      </c>
      <c r="C38" s="15" t="s">
        <v>261</v>
      </c>
      <c r="D38" s="15" t="s">
        <v>305</v>
      </c>
      <c r="E38" s="15" t="s">
        <v>92</v>
      </c>
      <c r="F38" s="16" t="s">
        <v>87</v>
      </c>
      <c r="G38" s="15" t="s">
        <v>118</v>
      </c>
      <c r="H38" s="15" t="s">
        <v>118</v>
      </c>
      <c r="I38" s="15" t="s">
        <v>306</v>
      </c>
      <c r="J38" s="15" t="s">
        <v>307</v>
      </c>
      <c r="K38" s="15" t="s">
        <v>121</v>
      </c>
      <c r="L38" s="16" t="n">
        <v>5</v>
      </c>
      <c r="M38" s="17" t="s">
        <v>122</v>
      </c>
      <c r="N38" s="15" t="s">
        <v>308</v>
      </c>
      <c r="O38" s="16" t="s">
        <v>124</v>
      </c>
    </row>
    <row r="39" customFormat="false" ht="51.75" hidden="false" customHeight="true" outlineLevel="0" collapsed="false">
      <c r="A39" s="14" t="s">
        <v>309</v>
      </c>
      <c r="B39" s="16" t="s">
        <v>260</v>
      </c>
      <c r="C39" s="15" t="s">
        <v>261</v>
      </c>
      <c r="D39" s="15" t="s">
        <v>310</v>
      </c>
      <c r="E39" s="15" t="s">
        <v>92</v>
      </c>
      <c r="F39" s="16" t="s">
        <v>237</v>
      </c>
      <c r="G39" s="15" t="s">
        <v>118</v>
      </c>
      <c r="H39" s="15" t="s">
        <v>118</v>
      </c>
      <c r="I39" s="15" t="s">
        <v>311</v>
      </c>
      <c r="J39" s="15" t="s">
        <v>312</v>
      </c>
      <c r="K39" s="15" t="s">
        <v>121</v>
      </c>
      <c r="L39" s="16" t="n">
        <v>5</v>
      </c>
      <c r="M39" s="18" t="s">
        <v>141</v>
      </c>
      <c r="N39" s="15" t="s">
        <v>255</v>
      </c>
      <c r="O39" s="16" t="s">
        <v>124</v>
      </c>
    </row>
    <row r="40" customFormat="false" ht="63" hidden="false" customHeight="true" outlineLevel="0" collapsed="false">
      <c r="A40" s="14" t="s">
        <v>313</v>
      </c>
      <c r="B40" s="16" t="s">
        <v>260</v>
      </c>
      <c r="C40" s="15" t="s">
        <v>314</v>
      </c>
      <c r="D40" s="15" t="s">
        <v>315</v>
      </c>
      <c r="E40" s="15" t="s">
        <v>96</v>
      </c>
      <c r="F40" s="16" t="s">
        <v>237</v>
      </c>
      <c r="G40" s="15" t="s">
        <v>118</v>
      </c>
      <c r="H40" s="15" t="s">
        <v>118</v>
      </c>
      <c r="I40" s="15" t="s">
        <v>316</v>
      </c>
      <c r="J40" s="15" t="s">
        <v>317</v>
      </c>
      <c r="K40" s="15" t="s">
        <v>121</v>
      </c>
      <c r="L40" s="16" t="n">
        <v>8</v>
      </c>
      <c r="M40" s="17" t="s">
        <v>122</v>
      </c>
      <c r="N40" s="15" t="s">
        <v>318</v>
      </c>
      <c r="O40" s="16" t="s">
        <v>124</v>
      </c>
    </row>
    <row r="41" customFormat="false" ht="63" hidden="false" customHeight="true" outlineLevel="0" collapsed="false">
      <c r="A41" s="14" t="s">
        <v>319</v>
      </c>
      <c r="B41" s="16" t="s">
        <v>260</v>
      </c>
      <c r="C41" s="15" t="s">
        <v>314</v>
      </c>
      <c r="D41" s="15" t="s">
        <v>320</v>
      </c>
      <c r="E41" s="15" t="s">
        <v>96</v>
      </c>
      <c r="F41" s="16" t="s">
        <v>116</v>
      </c>
      <c r="G41" s="15" t="s">
        <v>118</v>
      </c>
      <c r="H41" s="15" t="s">
        <v>118</v>
      </c>
      <c r="I41" s="15" t="s">
        <v>321</v>
      </c>
      <c r="J41" s="15" t="s">
        <v>322</v>
      </c>
      <c r="K41" s="15" t="s">
        <v>121</v>
      </c>
      <c r="L41" s="16" t="n">
        <v>8</v>
      </c>
      <c r="M41" s="17" t="s">
        <v>122</v>
      </c>
      <c r="N41" s="15" t="s">
        <v>125</v>
      </c>
      <c r="O41" s="16" t="s">
        <v>124</v>
      </c>
    </row>
    <row r="42" customFormat="false" ht="63" hidden="false" customHeight="true" outlineLevel="0" collapsed="false">
      <c r="A42" s="14" t="s">
        <v>323</v>
      </c>
      <c r="B42" s="16" t="s">
        <v>260</v>
      </c>
      <c r="C42" s="15" t="s">
        <v>314</v>
      </c>
      <c r="D42" s="15" t="s">
        <v>324</v>
      </c>
      <c r="E42" s="15" t="s">
        <v>96</v>
      </c>
      <c r="F42" s="16" t="s">
        <v>116</v>
      </c>
      <c r="G42" s="15" t="s">
        <v>118</v>
      </c>
      <c r="H42" s="15" t="s">
        <v>118</v>
      </c>
      <c r="I42" s="15" t="s">
        <v>325</v>
      </c>
      <c r="J42" s="15" t="s">
        <v>326</v>
      </c>
      <c r="K42" s="15" t="s">
        <v>121</v>
      </c>
      <c r="L42" s="16" t="n">
        <v>8</v>
      </c>
      <c r="M42" s="17" t="s">
        <v>122</v>
      </c>
      <c r="N42" s="15" t="s">
        <v>131</v>
      </c>
      <c r="O42" s="16" t="s">
        <v>124</v>
      </c>
    </row>
    <row r="43" customFormat="false" ht="51.75" hidden="false" customHeight="true" outlineLevel="0" collapsed="false">
      <c r="A43" s="14" t="s">
        <v>327</v>
      </c>
      <c r="B43" s="16" t="s">
        <v>260</v>
      </c>
      <c r="C43" s="15" t="s">
        <v>314</v>
      </c>
      <c r="D43" s="15" t="s">
        <v>328</v>
      </c>
      <c r="E43" s="15" t="s">
        <v>96</v>
      </c>
      <c r="F43" s="16" t="s">
        <v>116</v>
      </c>
      <c r="G43" s="15" t="s">
        <v>118</v>
      </c>
      <c r="H43" s="15" t="s">
        <v>118</v>
      </c>
      <c r="I43" s="15" t="s">
        <v>329</v>
      </c>
      <c r="J43" s="15" t="s">
        <v>330</v>
      </c>
      <c r="K43" s="15" t="s">
        <v>121</v>
      </c>
      <c r="L43" s="16" t="n">
        <v>5</v>
      </c>
      <c r="M43" s="18" t="s">
        <v>141</v>
      </c>
      <c r="N43" s="15" t="s">
        <v>148</v>
      </c>
      <c r="O43" s="16" t="s">
        <v>124</v>
      </c>
    </row>
    <row r="44" customFormat="false" ht="63" hidden="false" customHeight="true" outlineLevel="0" collapsed="false">
      <c r="A44" s="14" t="s">
        <v>331</v>
      </c>
      <c r="B44" s="16" t="s">
        <v>260</v>
      </c>
      <c r="C44" s="15" t="s">
        <v>314</v>
      </c>
      <c r="D44" s="15" t="s">
        <v>332</v>
      </c>
      <c r="E44" s="15" t="s">
        <v>96</v>
      </c>
      <c r="F44" s="16" t="s">
        <v>156</v>
      </c>
      <c r="G44" s="15" t="s">
        <v>118</v>
      </c>
      <c r="H44" s="15" t="s">
        <v>118</v>
      </c>
      <c r="I44" s="15" t="s">
        <v>333</v>
      </c>
      <c r="J44" s="15" t="s">
        <v>334</v>
      </c>
      <c r="K44" s="15" t="s">
        <v>121</v>
      </c>
      <c r="L44" s="16" t="n">
        <v>8</v>
      </c>
      <c r="M44" s="17" t="s">
        <v>122</v>
      </c>
      <c r="N44" s="15" t="s">
        <v>180</v>
      </c>
      <c r="O44" s="16" t="s">
        <v>124</v>
      </c>
    </row>
    <row r="45" customFormat="false" ht="75" hidden="false" customHeight="true" outlineLevel="0" collapsed="false">
      <c r="A45" s="14" t="s">
        <v>335</v>
      </c>
      <c r="B45" s="16" t="s">
        <v>260</v>
      </c>
      <c r="C45" s="15" t="s">
        <v>314</v>
      </c>
      <c r="D45" s="15" t="s">
        <v>336</v>
      </c>
      <c r="E45" s="15" t="s">
        <v>96</v>
      </c>
      <c r="F45" s="16" t="s">
        <v>87</v>
      </c>
      <c r="G45" s="15" t="s">
        <v>118</v>
      </c>
      <c r="H45" s="15" t="s">
        <v>118</v>
      </c>
      <c r="I45" s="15" t="s">
        <v>337</v>
      </c>
      <c r="J45" s="15" t="s">
        <v>338</v>
      </c>
      <c r="K45" s="15" t="s">
        <v>121</v>
      </c>
      <c r="L45" s="16" t="n">
        <v>8</v>
      </c>
      <c r="M45" s="17" t="s">
        <v>122</v>
      </c>
      <c r="N45" s="15" t="s">
        <v>339</v>
      </c>
      <c r="O45" s="16" t="s">
        <v>124</v>
      </c>
    </row>
    <row r="46" customFormat="false" ht="63" hidden="false" customHeight="true" outlineLevel="0" collapsed="false">
      <c r="A46" s="14" t="s">
        <v>340</v>
      </c>
      <c r="B46" s="16" t="s">
        <v>260</v>
      </c>
      <c r="C46" s="15" t="s">
        <v>314</v>
      </c>
      <c r="D46" s="15" t="s">
        <v>341</v>
      </c>
      <c r="E46" s="15" t="s">
        <v>96</v>
      </c>
      <c r="F46" s="16" t="s">
        <v>237</v>
      </c>
      <c r="G46" s="15" t="s">
        <v>118</v>
      </c>
      <c r="H46" s="15" t="s">
        <v>118</v>
      </c>
      <c r="I46" s="15" t="s">
        <v>342</v>
      </c>
      <c r="J46" s="15" t="s">
        <v>343</v>
      </c>
      <c r="K46" s="15" t="s">
        <v>121</v>
      </c>
      <c r="L46" s="16" t="n">
        <v>8</v>
      </c>
      <c r="M46" s="17" t="s">
        <v>122</v>
      </c>
      <c r="N46" s="15" t="s">
        <v>344</v>
      </c>
      <c r="O46" s="16" t="s">
        <v>124</v>
      </c>
    </row>
    <row r="47" customFormat="false" ht="75" hidden="false" customHeight="true" outlineLevel="0" collapsed="false">
      <c r="A47" s="14" t="s">
        <v>345</v>
      </c>
      <c r="B47" s="16" t="s">
        <v>260</v>
      </c>
      <c r="C47" s="15" t="s">
        <v>314</v>
      </c>
      <c r="D47" s="15" t="s">
        <v>346</v>
      </c>
      <c r="E47" s="15" t="s">
        <v>96</v>
      </c>
      <c r="F47" s="16" t="s">
        <v>237</v>
      </c>
      <c r="G47" s="15" t="s">
        <v>118</v>
      </c>
      <c r="H47" s="15" t="s">
        <v>118</v>
      </c>
      <c r="I47" s="15" t="s">
        <v>347</v>
      </c>
      <c r="J47" s="15" t="s">
        <v>348</v>
      </c>
      <c r="K47" s="15" t="s">
        <v>121</v>
      </c>
      <c r="L47" s="16" t="n">
        <v>5</v>
      </c>
      <c r="M47" s="18" t="s">
        <v>141</v>
      </c>
      <c r="N47" s="15" t="s">
        <v>251</v>
      </c>
      <c r="O47" s="16" t="s">
        <v>124</v>
      </c>
    </row>
  </sheetData>
  <autoFilter ref="A1:O4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H2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16"/>
  </cols>
  <sheetData>
    <row r="1" customFormat="false" ht="17.35" hidden="false" customHeight="false" outlineLevel="0" collapsed="false">
      <c r="A1" s="20" t="s">
        <v>349</v>
      </c>
    </row>
    <row r="2" customFormat="false" ht="30" hidden="false" customHeight="true" outlineLevel="0" collapsed="false">
      <c r="A2" s="2" t="s">
        <v>12</v>
      </c>
      <c r="B2" s="2"/>
      <c r="C2" s="2"/>
      <c r="D2" s="2"/>
      <c r="E2" s="2"/>
      <c r="F2" s="2"/>
      <c r="G2" s="2"/>
      <c r="H2" s="2"/>
    </row>
    <row r="4" customFormat="false" ht="15" hidden="false" customHeight="false" outlineLevel="0" collapsed="false">
      <c r="A4" s="21" t="s">
        <v>350</v>
      </c>
    </row>
    <row r="5" customFormat="false" ht="21.75" hidden="false" customHeight="true" outlineLevel="0" collapsed="false">
      <c r="A5" s="22"/>
      <c r="B5" s="23" t="s">
        <v>114</v>
      </c>
      <c r="C5" s="23" t="s">
        <v>260</v>
      </c>
      <c r="D5" s="24" t="s">
        <v>351</v>
      </c>
    </row>
    <row r="6" customFormat="false" ht="15" hidden="false" customHeight="false" outlineLevel="0" collapsed="false">
      <c r="A6" s="25" t="s">
        <v>116</v>
      </c>
      <c r="B6" s="26" t="n">
        <f aca="false">SUMIFS(Backlog!$L$2:$L$47,Backlog!$F$2:$F$47,"SP-05",Backlog!$B$2:$B$47,"Backend")</f>
        <v>39</v>
      </c>
      <c r="C6" s="26" t="n">
        <f aca="false">SUMIFS(Backlog!$L$2:$L$47,Backlog!$F$2:$F$47,"SP-05",Backlog!$B$2:$B$47,"Frontend")</f>
        <v>21</v>
      </c>
      <c r="D6" s="27" t="n">
        <f aca="false">SUM(B6:C6)</f>
        <v>60</v>
      </c>
    </row>
    <row r="7" customFormat="false" ht="15" hidden="false" customHeight="false" outlineLevel="0" collapsed="false">
      <c r="A7" s="28" t="s">
        <v>156</v>
      </c>
      <c r="B7" s="29" t="n">
        <f aca="false">SUMIFS(Backlog!$L$2:$L$47,Backlog!$F$2:$F$47,"SP-06",Backlog!$B$2:$B$47,"Backend")</f>
        <v>39</v>
      </c>
      <c r="C7" s="29" t="n">
        <f aca="false">SUMIFS(Backlog!$L$2:$L$47,Backlog!$F$2:$F$47,"SP-06",Backlog!$B$2:$B$47,"Frontend")</f>
        <v>39</v>
      </c>
      <c r="D7" s="30" t="n">
        <f aca="false">SUM(B7:C7)</f>
        <v>78</v>
      </c>
    </row>
    <row r="8" customFormat="false" ht="15" hidden="false" customHeight="false" outlineLevel="0" collapsed="false">
      <c r="A8" s="25" t="s">
        <v>87</v>
      </c>
      <c r="B8" s="26" t="n">
        <f aca="false">SUMIFS(Backlog!$L$2:$L$47,Backlog!$F$2:$F$47,"SP-07",Backlog!$B$2:$B$47,"Backend")</f>
        <v>52</v>
      </c>
      <c r="C8" s="26" t="n">
        <f aca="false">SUMIFS(Backlog!$L$2:$L$47,Backlog!$F$2:$F$47,"SP-07",Backlog!$B$2:$B$47,"Frontend")</f>
        <v>29</v>
      </c>
      <c r="D8" s="27" t="n">
        <f aca="false">SUM(B8:C8)</f>
        <v>81</v>
      </c>
    </row>
    <row r="9" customFormat="false" ht="15" hidden="false" customHeight="false" outlineLevel="0" collapsed="false">
      <c r="A9" s="28" t="s">
        <v>237</v>
      </c>
      <c r="B9" s="29" t="n">
        <f aca="false">SUMIFS(Backlog!$L$2:$L$47,Backlog!$F$2:$F$47,"SP-08",Backlog!$B$2:$B$47,"Backend")</f>
        <v>28</v>
      </c>
      <c r="C9" s="29" t="n">
        <f aca="false">SUMIFS(Backlog!$L$2:$L$47,Backlog!$F$2:$F$47,"SP-08",Backlog!$B$2:$B$47,"Frontend")</f>
        <v>26</v>
      </c>
      <c r="D9" s="30" t="n">
        <f aca="false">SUM(B9:C9)</f>
        <v>54</v>
      </c>
    </row>
    <row r="10" customFormat="false" ht="15" hidden="false" customHeight="false" outlineLevel="0" collapsed="false">
      <c r="A10" s="9" t="s">
        <v>351</v>
      </c>
      <c r="B10" s="31" t="n">
        <f aca="false">SUM(B6:B9)</f>
        <v>158</v>
      </c>
      <c r="C10" s="31" t="n">
        <f aca="false">SUM(C6:C9)</f>
        <v>115</v>
      </c>
      <c r="D10" s="31" t="n">
        <f aca="false">SUM(D6:D9)</f>
        <v>273</v>
      </c>
    </row>
    <row r="13" customFormat="false" ht="15" hidden="false" customHeight="false" outlineLevel="0" collapsed="false">
      <c r="A13" s="21" t="s">
        <v>352</v>
      </c>
    </row>
    <row r="14" customFormat="false" ht="21.75" hidden="false" customHeight="true" outlineLevel="0" collapsed="false">
      <c r="A14" s="22"/>
      <c r="B14" s="23" t="s">
        <v>114</v>
      </c>
      <c r="C14" s="23" t="s">
        <v>260</v>
      </c>
      <c r="D14" s="24" t="s">
        <v>351</v>
      </c>
    </row>
    <row r="15" customFormat="false" ht="15" hidden="false" customHeight="false" outlineLevel="0" collapsed="false">
      <c r="A15" s="25" t="s">
        <v>116</v>
      </c>
      <c r="B15" s="26" t="n">
        <f aca="false">COUNTIFS(Backlog!$F$2:$F$47,"SP-05",Backlog!$B$2:$B$47,"Backend")</f>
        <v>6</v>
      </c>
      <c r="C15" s="26" t="n">
        <f aca="false">COUNTIFS(Backlog!$F$2:$F$47,"SP-05",Backlog!$B$2:$B$47,"Frontend")</f>
        <v>3</v>
      </c>
      <c r="D15" s="27" t="n">
        <f aca="false">SUM(B15:C15)</f>
        <v>9</v>
      </c>
    </row>
    <row r="16" customFormat="false" ht="15" hidden="false" customHeight="false" outlineLevel="0" collapsed="false">
      <c r="A16" s="28" t="s">
        <v>156</v>
      </c>
      <c r="B16" s="29" t="n">
        <f aca="false">COUNTIFS(Backlog!$F$2:$F$47,"SP-06",Backlog!$B$2:$B$47,"Backend")</f>
        <v>6</v>
      </c>
      <c r="C16" s="29" t="n">
        <f aca="false">COUNTIFS(Backlog!$F$2:$F$47,"SP-06",Backlog!$B$2:$B$47,"Frontend")</f>
        <v>8</v>
      </c>
      <c r="D16" s="30" t="n">
        <f aca="false">SUM(B16:C16)</f>
        <v>14</v>
      </c>
    </row>
    <row r="17" customFormat="false" ht="15" hidden="false" customHeight="false" outlineLevel="0" collapsed="false">
      <c r="A17" s="25" t="s">
        <v>87</v>
      </c>
      <c r="B17" s="26" t="n">
        <f aca="false">COUNTIFS(Backlog!$F$2:$F$47,"SP-07",Backlog!$B$2:$B$47,"Backend")</f>
        <v>9</v>
      </c>
      <c r="C17" s="26" t="n">
        <f aca="false">COUNTIFS(Backlog!$F$2:$F$47,"SP-07",Backlog!$B$2:$B$47,"Frontend")</f>
        <v>5</v>
      </c>
      <c r="D17" s="27" t="n">
        <f aca="false">SUM(B17:C17)</f>
        <v>14</v>
      </c>
    </row>
    <row r="18" customFormat="false" ht="15" hidden="false" customHeight="false" outlineLevel="0" collapsed="false">
      <c r="A18" s="28" t="s">
        <v>237</v>
      </c>
      <c r="B18" s="29" t="n">
        <f aca="false">COUNTIFS(Backlog!$F$2:$F$47,"SP-08",Backlog!$B$2:$B$47,"Backend")</f>
        <v>5</v>
      </c>
      <c r="C18" s="29" t="n">
        <f aca="false">COUNTIFS(Backlog!$F$2:$F$47,"SP-08",Backlog!$B$2:$B$47,"Frontend")</f>
        <v>4</v>
      </c>
      <c r="D18" s="30" t="n">
        <f aca="false">SUM(B18:C18)</f>
        <v>9</v>
      </c>
    </row>
    <row r="19" customFormat="false" ht="15" hidden="false" customHeight="false" outlineLevel="0" collapsed="false">
      <c r="A19" s="9" t="s">
        <v>351</v>
      </c>
      <c r="B19" s="31" t="n">
        <f aca="false">SUM(B15:B18)</f>
        <v>26</v>
      </c>
      <c r="C19" s="31" t="n">
        <f aca="false">SUM(C15:C18)</f>
        <v>20</v>
      </c>
      <c r="D19" s="31" t="n">
        <f aca="false">SUM(D15:D18)</f>
        <v>46</v>
      </c>
    </row>
    <row r="22" customFormat="false" ht="15" hidden="false" customHeight="false" outlineLevel="0" collapsed="false">
      <c r="A22" s="21" t="s">
        <v>353</v>
      </c>
    </row>
    <row r="23" customFormat="false" ht="21.75" hidden="false" customHeight="true" outlineLevel="0" collapsed="false">
      <c r="A23" s="22"/>
      <c r="B23" s="23" t="s">
        <v>77</v>
      </c>
      <c r="C23" s="23" t="s">
        <v>314</v>
      </c>
      <c r="D23" s="23" t="s">
        <v>219</v>
      </c>
      <c r="E23" s="23" t="s">
        <v>165</v>
      </c>
      <c r="F23" s="23" t="s">
        <v>193</v>
      </c>
      <c r="G23" s="23" t="s">
        <v>261</v>
      </c>
      <c r="H23" s="24" t="s">
        <v>351</v>
      </c>
    </row>
    <row r="24" customFormat="false" ht="15" hidden="false" customHeight="false" outlineLevel="0" collapsed="false">
      <c r="A24" s="25" t="s">
        <v>116</v>
      </c>
      <c r="B24" s="26" t="n">
        <f aca="false">SUMIFS(Backlog!$L$2:$L$47,Backlog!$F$2:$F$47,"SP-05",Backlog!$C$2:$C$47,"Catalog")</f>
        <v>39</v>
      </c>
      <c r="C24" s="26" t="n">
        <f aca="false">SUMIFS(Backlog!$L$2:$L$47,Backlog!$F$2:$F$47,"SP-05",Backlog!$C$2:$C$47,"Channel dashboard")</f>
        <v>21</v>
      </c>
      <c r="D24" s="26" t="n">
        <f aca="false">SUMIFS(Backlog!$L$2:$L$47,Backlog!$F$2:$F$47,"SP-05",Backlog!$C$2:$C$47,"Ordering")</f>
        <v>0</v>
      </c>
      <c r="E24" s="26" t="n">
        <f aca="false">SUMIFS(Backlog!$L$2:$L$47,Backlog!$F$2:$F$47,"SP-05",Backlog!$C$2:$C$47,"Pricing")</f>
        <v>0</v>
      </c>
      <c r="F24" s="26" t="n">
        <f aca="false">SUMIFS(Backlog!$L$2:$L$47,Backlog!$F$2:$F$47,"SP-05",Backlog!$C$2:$C$47,"Promotion")</f>
        <v>0</v>
      </c>
      <c r="G24" s="26" t="n">
        <f aca="false">SUMIFS(Backlog!$L$2:$L$47,Backlog!$F$2:$F$47,"SP-05",Backlog!$C$2:$C$47,"Retailer app")</f>
        <v>0</v>
      </c>
      <c r="H24" s="27" t="n">
        <f aca="false">SUM(B24:G24)</f>
        <v>60</v>
      </c>
    </row>
    <row r="25" customFormat="false" ht="15" hidden="false" customHeight="false" outlineLevel="0" collapsed="false">
      <c r="A25" s="28" t="s">
        <v>156</v>
      </c>
      <c r="B25" s="29" t="n">
        <f aca="false">SUMIFS(Backlog!$L$2:$L$47,Backlog!$F$2:$F$47,"SP-06",Backlog!$C$2:$C$47,"Catalog")</f>
        <v>13</v>
      </c>
      <c r="C25" s="29" t="n">
        <f aca="false">SUMIFS(Backlog!$L$2:$L$47,Backlog!$F$2:$F$47,"SP-06",Backlog!$C$2:$C$47,"Channel dashboard")</f>
        <v>8</v>
      </c>
      <c r="D25" s="29" t="n">
        <f aca="false">SUMIFS(Backlog!$L$2:$L$47,Backlog!$F$2:$F$47,"SP-06",Backlog!$C$2:$C$47,"Ordering")</f>
        <v>0</v>
      </c>
      <c r="E25" s="29" t="n">
        <f aca="false">SUMIFS(Backlog!$L$2:$L$47,Backlog!$F$2:$F$47,"SP-06",Backlog!$C$2:$C$47,"Pricing")</f>
        <v>26</v>
      </c>
      <c r="F25" s="29" t="n">
        <f aca="false">SUMIFS(Backlog!$L$2:$L$47,Backlog!$F$2:$F$47,"SP-06",Backlog!$C$2:$C$47,"Promotion")</f>
        <v>0</v>
      </c>
      <c r="G25" s="29" t="n">
        <f aca="false">SUMIFS(Backlog!$L$2:$L$47,Backlog!$F$2:$F$47,"SP-06",Backlog!$C$2:$C$47,"Retailer app")</f>
        <v>31</v>
      </c>
      <c r="H25" s="30" t="n">
        <f aca="false">SUM(B25:G25)</f>
        <v>78</v>
      </c>
    </row>
    <row r="26" customFormat="false" ht="15" hidden="false" customHeight="false" outlineLevel="0" collapsed="false">
      <c r="A26" s="25" t="s">
        <v>87</v>
      </c>
      <c r="B26" s="26" t="n">
        <f aca="false">SUMIFS(Backlog!$L$2:$L$47,Backlog!$F$2:$F$47,"SP-07",Backlog!$C$2:$C$47,"Catalog")</f>
        <v>0</v>
      </c>
      <c r="C26" s="26" t="n">
        <f aca="false">SUMIFS(Backlog!$L$2:$L$47,Backlog!$F$2:$F$47,"SP-07",Backlog!$C$2:$C$47,"Channel dashboard")</f>
        <v>8</v>
      </c>
      <c r="D26" s="26" t="n">
        <f aca="false">SUMIFS(Backlog!$L$2:$L$47,Backlog!$F$2:$F$47,"SP-07",Backlog!$C$2:$C$47,"Ordering")</f>
        <v>18</v>
      </c>
      <c r="E26" s="26" t="n">
        <f aca="false">SUMIFS(Backlog!$L$2:$L$47,Backlog!$F$2:$F$47,"SP-07",Backlog!$C$2:$C$47,"Pricing")</f>
        <v>5</v>
      </c>
      <c r="F26" s="26" t="n">
        <f aca="false">SUMIFS(Backlog!$L$2:$L$47,Backlog!$F$2:$F$47,"SP-07",Backlog!$C$2:$C$47,"Promotion")</f>
        <v>29</v>
      </c>
      <c r="G26" s="26" t="n">
        <f aca="false">SUMIFS(Backlog!$L$2:$L$47,Backlog!$F$2:$F$47,"SP-07",Backlog!$C$2:$C$47,"Retailer app")</f>
        <v>21</v>
      </c>
      <c r="H26" s="27" t="n">
        <f aca="false">SUM(B26:G26)</f>
        <v>81</v>
      </c>
    </row>
    <row r="27" customFormat="false" ht="15" hidden="false" customHeight="false" outlineLevel="0" collapsed="false">
      <c r="A27" s="28" t="s">
        <v>237</v>
      </c>
      <c r="B27" s="29" t="n">
        <f aca="false">SUMIFS(Backlog!$L$2:$L$47,Backlog!$F$2:$F$47,"SP-08",Backlog!$C$2:$C$47,"Catalog")</f>
        <v>0</v>
      </c>
      <c r="C27" s="29" t="n">
        <f aca="false">SUMIFS(Backlog!$L$2:$L$47,Backlog!$F$2:$F$47,"SP-08",Backlog!$C$2:$C$47,"Channel dashboard")</f>
        <v>21</v>
      </c>
      <c r="D27" s="29" t="n">
        <f aca="false">SUMIFS(Backlog!$L$2:$L$47,Backlog!$F$2:$F$47,"SP-08",Backlog!$C$2:$C$47,"Ordering")</f>
        <v>28</v>
      </c>
      <c r="E27" s="29" t="n">
        <f aca="false">SUMIFS(Backlog!$L$2:$L$47,Backlog!$F$2:$F$47,"SP-08",Backlog!$C$2:$C$47,"Pricing")</f>
        <v>0</v>
      </c>
      <c r="F27" s="29" t="n">
        <f aca="false">SUMIFS(Backlog!$L$2:$L$47,Backlog!$F$2:$F$47,"SP-08",Backlog!$C$2:$C$47,"Promotion")</f>
        <v>0</v>
      </c>
      <c r="G27" s="29" t="n">
        <f aca="false">SUMIFS(Backlog!$L$2:$L$47,Backlog!$F$2:$F$47,"SP-08",Backlog!$C$2:$C$47,"Retailer app")</f>
        <v>5</v>
      </c>
      <c r="H27" s="30" t="n">
        <f aca="false">SUM(B27:G27)</f>
        <v>54</v>
      </c>
    </row>
    <row r="28" customFormat="false" ht="15" hidden="false" customHeight="false" outlineLevel="0" collapsed="false">
      <c r="A28" s="9" t="s">
        <v>351</v>
      </c>
      <c r="B28" s="31" t="n">
        <f aca="false">SUM(B24:B27)</f>
        <v>52</v>
      </c>
      <c r="C28" s="31" t="n">
        <f aca="false">SUM(C24:C27)</f>
        <v>58</v>
      </c>
      <c r="D28" s="31" t="n">
        <f aca="false">SUM(D24:D27)</f>
        <v>46</v>
      </c>
      <c r="E28" s="31" t="n">
        <f aca="false">SUM(E24:E27)</f>
        <v>31</v>
      </c>
      <c r="F28" s="31" t="n">
        <f aca="false">SUM(F24:F27)</f>
        <v>29</v>
      </c>
      <c r="G28" s="31" t="n">
        <f aca="false">SUM(G24:G27)</f>
        <v>57</v>
      </c>
      <c r="H28" s="31" t="n">
        <f aca="false">SUM(H24:H27)</f>
        <v>273</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6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5" min="3" style="0" width="12"/>
    <col collapsed="false" customWidth="true" hidden="false" outlineLevel="0" max="6" min="6" style="0" width="42"/>
    <col collapsed="false" customWidth="true" hidden="false" outlineLevel="0" max="7" min="7" style="0" width="12"/>
    <col collapsed="false" customWidth="true" hidden="false" outlineLevel="0" max="8" min="8" style="0" width="16"/>
  </cols>
  <sheetData>
    <row r="1" customFormat="false" ht="30" hidden="false" customHeight="true" outlineLevel="0" collapsed="false">
      <c r="A1" s="10" t="s">
        <v>354</v>
      </c>
      <c r="B1" s="10" t="s">
        <v>355</v>
      </c>
      <c r="C1" s="10" t="s">
        <v>356</v>
      </c>
      <c r="D1" s="10" t="s">
        <v>357</v>
      </c>
      <c r="E1" s="10" t="s">
        <v>358</v>
      </c>
      <c r="F1" s="10" t="s">
        <v>359</v>
      </c>
      <c r="G1" s="10" t="s">
        <v>360</v>
      </c>
      <c r="H1" s="10" t="s">
        <v>361</v>
      </c>
    </row>
    <row r="2" customFormat="false" ht="17.25" hidden="false" customHeight="true" outlineLevel="0" collapsed="false">
      <c r="A2" s="11" t="s">
        <v>362</v>
      </c>
      <c r="B2" s="12" t="s">
        <v>363</v>
      </c>
      <c r="C2" s="13" t="s">
        <v>364</v>
      </c>
      <c r="D2" s="13" t="s">
        <v>365</v>
      </c>
      <c r="E2" s="12" t="s">
        <v>229</v>
      </c>
      <c r="F2" s="12" t="s">
        <v>230</v>
      </c>
      <c r="G2" s="13" t="s">
        <v>87</v>
      </c>
      <c r="H2" s="18" t="s">
        <v>366</v>
      </c>
    </row>
    <row r="3" customFormat="false" ht="17.25" hidden="false" customHeight="true" outlineLevel="0" collapsed="false">
      <c r="A3" s="14" t="s">
        <v>367</v>
      </c>
      <c r="B3" s="15" t="s">
        <v>368</v>
      </c>
      <c r="C3" s="16" t="s">
        <v>364</v>
      </c>
      <c r="D3" s="16" t="s">
        <v>365</v>
      </c>
      <c r="E3" s="15" t="s">
        <v>181</v>
      </c>
      <c r="F3" s="15" t="s">
        <v>182</v>
      </c>
      <c r="G3" s="16" t="s">
        <v>156</v>
      </c>
      <c r="H3" s="18" t="s">
        <v>366</v>
      </c>
    </row>
    <row r="4" customFormat="false" ht="17.25" hidden="false" customHeight="true" outlineLevel="0" collapsed="false">
      <c r="A4" s="11" t="s">
        <v>369</v>
      </c>
      <c r="B4" s="12" t="s">
        <v>370</v>
      </c>
      <c r="C4" s="13" t="s">
        <v>364</v>
      </c>
      <c r="D4" s="13" t="s">
        <v>365</v>
      </c>
      <c r="E4" s="12" t="s">
        <v>164</v>
      </c>
      <c r="F4" s="12" t="s">
        <v>166</v>
      </c>
      <c r="G4" s="13" t="s">
        <v>156</v>
      </c>
      <c r="H4" s="18" t="s">
        <v>366</v>
      </c>
    </row>
    <row r="5" customFormat="false" ht="17.25" hidden="false" customHeight="true" outlineLevel="0" collapsed="false">
      <c r="A5" s="14" t="s">
        <v>371</v>
      </c>
      <c r="B5" s="15" t="s">
        <v>372</v>
      </c>
      <c r="C5" s="16" t="s">
        <v>364</v>
      </c>
      <c r="D5" s="16" t="s">
        <v>365</v>
      </c>
      <c r="E5" s="15" t="s">
        <v>235</v>
      </c>
      <c r="F5" s="15" t="s">
        <v>236</v>
      </c>
      <c r="G5" s="16" t="s">
        <v>237</v>
      </c>
      <c r="H5" s="18" t="s">
        <v>366</v>
      </c>
    </row>
    <row r="6" customFormat="false" ht="17.25" hidden="false" customHeight="true" outlineLevel="0" collapsed="false">
      <c r="A6" s="11" t="s">
        <v>373</v>
      </c>
      <c r="B6" s="12" t="s">
        <v>374</v>
      </c>
      <c r="C6" s="13" t="s">
        <v>364</v>
      </c>
      <c r="D6" s="13" t="s">
        <v>375</v>
      </c>
      <c r="E6" s="12" t="s">
        <v>125</v>
      </c>
      <c r="F6" s="12" t="s">
        <v>126</v>
      </c>
      <c r="G6" s="13" t="s">
        <v>116</v>
      </c>
      <c r="H6" s="18" t="s">
        <v>366</v>
      </c>
    </row>
    <row r="7" customFormat="false" ht="17.25" hidden="false" customHeight="true" outlineLevel="0" collapsed="false">
      <c r="A7" s="14" t="s">
        <v>376</v>
      </c>
      <c r="B7" s="15" t="s">
        <v>377</v>
      </c>
      <c r="C7" s="16" t="s">
        <v>364</v>
      </c>
      <c r="D7" s="16" t="s">
        <v>375</v>
      </c>
      <c r="E7" s="15" t="s">
        <v>148</v>
      </c>
      <c r="F7" s="15" t="s">
        <v>149</v>
      </c>
      <c r="G7" s="16" t="s">
        <v>116</v>
      </c>
      <c r="H7" s="18" t="s">
        <v>366</v>
      </c>
    </row>
    <row r="8" customFormat="false" ht="28.5" hidden="false" customHeight="true" outlineLevel="0" collapsed="false">
      <c r="A8" s="11" t="s">
        <v>123</v>
      </c>
      <c r="B8" s="12" t="s">
        <v>378</v>
      </c>
      <c r="C8" s="13" t="s">
        <v>364</v>
      </c>
      <c r="D8" s="13" t="s">
        <v>379</v>
      </c>
      <c r="E8" s="12" t="s">
        <v>113</v>
      </c>
      <c r="F8" s="12" t="s">
        <v>115</v>
      </c>
      <c r="G8" s="13" t="s">
        <v>116</v>
      </c>
      <c r="H8" s="18" t="s">
        <v>366</v>
      </c>
    </row>
    <row r="9" customFormat="false" ht="17.25" hidden="false" customHeight="true" outlineLevel="0" collapsed="false">
      <c r="A9" s="14" t="s">
        <v>380</v>
      </c>
      <c r="B9" s="15" t="s">
        <v>381</v>
      </c>
      <c r="C9" s="16" t="s">
        <v>364</v>
      </c>
      <c r="D9" s="16" t="s">
        <v>382</v>
      </c>
      <c r="E9" s="15" t="s">
        <v>142</v>
      </c>
      <c r="F9" s="15" t="s">
        <v>143</v>
      </c>
      <c r="G9" s="16" t="s">
        <v>116</v>
      </c>
      <c r="H9" s="18" t="s">
        <v>366</v>
      </c>
    </row>
    <row r="10" customFormat="false" ht="17.25" hidden="false" customHeight="true" outlineLevel="0" collapsed="false">
      <c r="A10" s="11" t="s">
        <v>113</v>
      </c>
      <c r="B10" s="12" t="s">
        <v>115</v>
      </c>
      <c r="C10" s="13" t="s">
        <v>383</v>
      </c>
      <c r="D10" s="13" t="s">
        <v>116</v>
      </c>
      <c r="E10" s="12" t="s">
        <v>125</v>
      </c>
      <c r="F10" s="12" t="s">
        <v>126</v>
      </c>
      <c r="G10" s="13" t="s">
        <v>116</v>
      </c>
      <c r="H10" s="13" t="s">
        <v>384</v>
      </c>
    </row>
    <row r="11" customFormat="false" ht="17.25" hidden="false" customHeight="true" outlineLevel="0" collapsed="false">
      <c r="A11" s="14" t="s">
        <v>113</v>
      </c>
      <c r="B11" s="15" t="s">
        <v>115</v>
      </c>
      <c r="C11" s="16" t="s">
        <v>383</v>
      </c>
      <c r="D11" s="16" t="s">
        <v>116</v>
      </c>
      <c r="E11" s="15" t="s">
        <v>296</v>
      </c>
      <c r="F11" s="15" t="s">
        <v>297</v>
      </c>
      <c r="G11" s="16" t="s">
        <v>87</v>
      </c>
      <c r="H11" s="16" t="s">
        <v>384</v>
      </c>
    </row>
    <row r="12" customFormat="false" ht="17.25" hidden="false" customHeight="true" outlineLevel="0" collapsed="false">
      <c r="A12" s="11" t="s">
        <v>125</v>
      </c>
      <c r="B12" s="12" t="s">
        <v>126</v>
      </c>
      <c r="C12" s="13" t="s">
        <v>383</v>
      </c>
      <c r="D12" s="13" t="s">
        <v>116</v>
      </c>
      <c r="E12" s="12" t="s">
        <v>131</v>
      </c>
      <c r="F12" s="12" t="s">
        <v>132</v>
      </c>
      <c r="G12" s="13" t="s">
        <v>116</v>
      </c>
      <c r="H12" s="13" t="s">
        <v>384</v>
      </c>
    </row>
    <row r="13" customFormat="false" ht="17.25" hidden="false" customHeight="true" outlineLevel="0" collapsed="false">
      <c r="A13" s="14" t="s">
        <v>125</v>
      </c>
      <c r="B13" s="15" t="s">
        <v>126</v>
      </c>
      <c r="C13" s="16" t="s">
        <v>383</v>
      </c>
      <c r="D13" s="16" t="s">
        <v>116</v>
      </c>
      <c r="E13" s="15" t="s">
        <v>319</v>
      </c>
      <c r="F13" s="15" t="s">
        <v>320</v>
      </c>
      <c r="G13" s="16" t="s">
        <v>116</v>
      </c>
      <c r="H13" s="16" t="s">
        <v>384</v>
      </c>
    </row>
    <row r="14" customFormat="false" ht="17.25" hidden="false" customHeight="true" outlineLevel="0" collapsed="false">
      <c r="A14" s="11" t="s">
        <v>131</v>
      </c>
      <c r="B14" s="12" t="s">
        <v>132</v>
      </c>
      <c r="C14" s="13" t="s">
        <v>383</v>
      </c>
      <c r="D14" s="13" t="s">
        <v>116</v>
      </c>
      <c r="E14" s="12" t="s">
        <v>136</v>
      </c>
      <c r="F14" s="12" t="s">
        <v>137</v>
      </c>
      <c r="G14" s="13" t="s">
        <v>116</v>
      </c>
      <c r="H14" s="13" t="s">
        <v>384</v>
      </c>
    </row>
    <row r="15" customFormat="false" ht="17.25" hidden="false" customHeight="true" outlineLevel="0" collapsed="false">
      <c r="A15" s="14" t="s">
        <v>131</v>
      </c>
      <c r="B15" s="15" t="s">
        <v>132</v>
      </c>
      <c r="C15" s="16" t="s">
        <v>383</v>
      </c>
      <c r="D15" s="16" t="s">
        <v>116</v>
      </c>
      <c r="E15" s="15" t="s">
        <v>142</v>
      </c>
      <c r="F15" s="15" t="s">
        <v>143</v>
      </c>
      <c r="G15" s="16" t="s">
        <v>116</v>
      </c>
      <c r="H15" s="16" t="s">
        <v>384</v>
      </c>
    </row>
    <row r="16" customFormat="false" ht="17.25" hidden="false" customHeight="true" outlineLevel="0" collapsed="false">
      <c r="A16" s="11" t="s">
        <v>131</v>
      </c>
      <c r="B16" s="12" t="s">
        <v>132</v>
      </c>
      <c r="C16" s="13" t="s">
        <v>383</v>
      </c>
      <c r="D16" s="13" t="s">
        <v>116</v>
      </c>
      <c r="E16" s="12" t="s">
        <v>148</v>
      </c>
      <c r="F16" s="12" t="s">
        <v>149</v>
      </c>
      <c r="G16" s="13" t="s">
        <v>116</v>
      </c>
      <c r="H16" s="13" t="s">
        <v>384</v>
      </c>
    </row>
    <row r="17" customFormat="false" ht="17.25" hidden="false" customHeight="true" outlineLevel="0" collapsed="false">
      <c r="A17" s="14" t="s">
        <v>131</v>
      </c>
      <c r="B17" s="15" t="s">
        <v>132</v>
      </c>
      <c r="C17" s="16" t="s">
        <v>383</v>
      </c>
      <c r="D17" s="16" t="s">
        <v>116</v>
      </c>
      <c r="E17" s="15" t="s">
        <v>154</v>
      </c>
      <c r="F17" s="15" t="s">
        <v>155</v>
      </c>
      <c r="G17" s="16" t="s">
        <v>156</v>
      </c>
      <c r="H17" s="16" t="s">
        <v>384</v>
      </c>
    </row>
    <row r="18" customFormat="false" ht="17.25" hidden="false" customHeight="true" outlineLevel="0" collapsed="false">
      <c r="A18" s="11" t="s">
        <v>131</v>
      </c>
      <c r="B18" s="12" t="s">
        <v>132</v>
      </c>
      <c r="C18" s="13" t="s">
        <v>383</v>
      </c>
      <c r="D18" s="13" t="s">
        <v>116</v>
      </c>
      <c r="E18" s="12" t="s">
        <v>164</v>
      </c>
      <c r="F18" s="12" t="s">
        <v>166</v>
      </c>
      <c r="G18" s="13" t="s">
        <v>156</v>
      </c>
      <c r="H18" s="13" t="s">
        <v>384</v>
      </c>
    </row>
    <row r="19" customFormat="false" ht="17.25" hidden="false" customHeight="true" outlineLevel="0" collapsed="false">
      <c r="A19" s="14" t="s">
        <v>131</v>
      </c>
      <c r="B19" s="15" t="s">
        <v>132</v>
      </c>
      <c r="C19" s="16" t="s">
        <v>383</v>
      </c>
      <c r="D19" s="16" t="s">
        <v>116</v>
      </c>
      <c r="E19" s="15" t="s">
        <v>323</v>
      </c>
      <c r="F19" s="15" t="s">
        <v>324</v>
      </c>
      <c r="G19" s="16" t="s">
        <v>116</v>
      </c>
      <c r="H19" s="16" t="s">
        <v>384</v>
      </c>
    </row>
    <row r="20" customFormat="false" ht="17.25" hidden="false" customHeight="true" outlineLevel="0" collapsed="false">
      <c r="A20" s="11" t="s">
        <v>148</v>
      </c>
      <c r="B20" s="12" t="s">
        <v>149</v>
      </c>
      <c r="C20" s="13" t="s">
        <v>383</v>
      </c>
      <c r="D20" s="13" t="s">
        <v>116</v>
      </c>
      <c r="E20" s="12" t="s">
        <v>327</v>
      </c>
      <c r="F20" s="12" t="s">
        <v>328</v>
      </c>
      <c r="G20" s="13" t="s">
        <v>116</v>
      </c>
      <c r="H20" s="13" t="s">
        <v>384</v>
      </c>
    </row>
    <row r="21" customFormat="false" ht="17.25" hidden="false" customHeight="true" outlineLevel="0" collapsed="false">
      <c r="A21" s="14" t="s">
        <v>154</v>
      </c>
      <c r="B21" s="15" t="s">
        <v>155</v>
      </c>
      <c r="C21" s="16" t="s">
        <v>383</v>
      </c>
      <c r="D21" s="16" t="s">
        <v>156</v>
      </c>
      <c r="E21" s="15" t="s">
        <v>160</v>
      </c>
      <c r="F21" s="15" t="s">
        <v>161</v>
      </c>
      <c r="G21" s="16" t="s">
        <v>156</v>
      </c>
      <c r="H21" s="16" t="s">
        <v>384</v>
      </c>
    </row>
    <row r="22" customFormat="false" ht="17.25" hidden="false" customHeight="true" outlineLevel="0" collapsed="false">
      <c r="A22" s="11" t="s">
        <v>154</v>
      </c>
      <c r="B22" s="12" t="s">
        <v>155</v>
      </c>
      <c r="C22" s="13" t="s">
        <v>383</v>
      </c>
      <c r="D22" s="13" t="s">
        <v>156</v>
      </c>
      <c r="E22" s="12" t="s">
        <v>218</v>
      </c>
      <c r="F22" s="12" t="s">
        <v>220</v>
      </c>
      <c r="G22" s="13" t="s">
        <v>87</v>
      </c>
      <c r="H22" s="13" t="s">
        <v>384</v>
      </c>
    </row>
    <row r="23" customFormat="false" ht="17.25" hidden="false" customHeight="true" outlineLevel="0" collapsed="false">
      <c r="A23" s="14" t="s">
        <v>154</v>
      </c>
      <c r="B23" s="15" t="s">
        <v>155</v>
      </c>
      <c r="C23" s="16" t="s">
        <v>383</v>
      </c>
      <c r="D23" s="16" t="s">
        <v>156</v>
      </c>
      <c r="E23" s="15" t="s">
        <v>259</v>
      </c>
      <c r="F23" s="15" t="s">
        <v>262</v>
      </c>
      <c r="G23" s="16" t="s">
        <v>156</v>
      </c>
      <c r="H23" s="16" t="s">
        <v>384</v>
      </c>
    </row>
    <row r="24" customFormat="false" ht="17.25" hidden="false" customHeight="true" outlineLevel="0" collapsed="false">
      <c r="A24" s="11" t="s">
        <v>154</v>
      </c>
      <c r="B24" s="12" t="s">
        <v>155</v>
      </c>
      <c r="C24" s="13" t="s">
        <v>383</v>
      </c>
      <c r="D24" s="13" t="s">
        <v>156</v>
      </c>
      <c r="E24" s="12" t="s">
        <v>278</v>
      </c>
      <c r="F24" s="12" t="s">
        <v>279</v>
      </c>
      <c r="G24" s="13" t="s">
        <v>156</v>
      </c>
      <c r="H24" s="13" t="s">
        <v>384</v>
      </c>
    </row>
    <row r="25" customFormat="false" ht="17.25" hidden="false" customHeight="true" outlineLevel="0" collapsed="false">
      <c r="A25" s="14" t="s">
        <v>154</v>
      </c>
      <c r="B25" s="15" t="s">
        <v>155</v>
      </c>
      <c r="C25" s="16" t="s">
        <v>383</v>
      </c>
      <c r="D25" s="16" t="s">
        <v>156</v>
      </c>
      <c r="E25" s="15" t="s">
        <v>283</v>
      </c>
      <c r="F25" s="15" t="s">
        <v>284</v>
      </c>
      <c r="G25" s="16" t="s">
        <v>156</v>
      </c>
      <c r="H25" s="16" t="s">
        <v>384</v>
      </c>
    </row>
    <row r="26" customFormat="false" ht="17.25" hidden="false" customHeight="true" outlineLevel="0" collapsed="false">
      <c r="A26" s="11" t="s">
        <v>218</v>
      </c>
      <c r="B26" s="12" t="s">
        <v>220</v>
      </c>
      <c r="C26" s="13" t="s">
        <v>383</v>
      </c>
      <c r="D26" s="13" t="s">
        <v>87</v>
      </c>
      <c r="E26" s="12" t="s">
        <v>224</v>
      </c>
      <c r="F26" s="12" t="s">
        <v>225</v>
      </c>
      <c r="G26" s="13" t="s">
        <v>87</v>
      </c>
      <c r="H26" s="13" t="s">
        <v>384</v>
      </c>
    </row>
    <row r="27" customFormat="false" ht="17.25" hidden="false" customHeight="true" outlineLevel="0" collapsed="false">
      <c r="A27" s="14" t="s">
        <v>218</v>
      </c>
      <c r="B27" s="15" t="s">
        <v>220</v>
      </c>
      <c r="C27" s="16" t="s">
        <v>383</v>
      </c>
      <c r="D27" s="16" t="s">
        <v>87</v>
      </c>
      <c r="E27" s="15" t="s">
        <v>203</v>
      </c>
      <c r="F27" s="15" t="s">
        <v>204</v>
      </c>
      <c r="G27" s="16" t="s">
        <v>87</v>
      </c>
      <c r="H27" s="16" t="s">
        <v>384</v>
      </c>
    </row>
    <row r="28" customFormat="false" ht="17.25" hidden="false" customHeight="true" outlineLevel="0" collapsed="false">
      <c r="A28" s="11" t="s">
        <v>224</v>
      </c>
      <c r="B28" s="12" t="s">
        <v>225</v>
      </c>
      <c r="C28" s="13" t="s">
        <v>383</v>
      </c>
      <c r="D28" s="13" t="s">
        <v>87</v>
      </c>
      <c r="E28" s="12" t="s">
        <v>229</v>
      </c>
      <c r="F28" s="12" t="s">
        <v>230</v>
      </c>
      <c r="G28" s="13" t="s">
        <v>87</v>
      </c>
      <c r="H28" s="13" t="s">
        <v>384</v>
      </c>
    </row>
    <row r="29" customFormat="false" ht="17.25" hidden="false" customHeight="true" outlineLevel="0" collapsed="false">
      <c r="A29" s="14" t="s">
        <v>224</v>
      </c>
      <c r="B29" s="15" t="s">
        <v>225</v>
      </c>
      <c r="C29" s="16" t="s">
        <v>383</v>
      </c>
      <c r="D29" s="16" t="s">
        <v>87</v>
      </c>
      <c r="E29" s="15" t="s">
        <v>300</v>
      </c>
      <c r="F29" s="15" t="s">
        <v>301</v>
      </c>
      <c r="G29" s="16" t="s">
        <v>87</v>
      </c>
      <c r="H29" s="16" t="s">
        <v>384</v>
      </c>
    </row>
    <row r="30" customFormat="false" ht="17.25" hidden="false" customHeight="true" outlineLevel="0" collapsed="false">
      <c r="A30" s="11" t="s">
        <v>229</v>
      </c>
      <c r="B30" s="12" t="s">
        <v>230</v>
      </c>
      <c r="C30" s="13" t="s">
        <v>383</v>
      </c>
      <c r="D30" s="13" t="s">
        <v>87</v>
      </c>
      <c r="E30" s="12" t="s">
        <v>235</v>
      </c>
      <c r="F30" s="12" t="s">
        <v>236</v>
      </c>
      <c r="G30" s="13" t="s">
        <v>237</v>
      </c>
      <c r="H30" s="13" t="s">
        <v>384</v>
      </c>
    </row>
    <row r="31" customFormat="false" ht="17.25" hidden="false" customHeight="true" outlineLevel="0" collapsed="false">
      <c r="A31" s="14" t="s">
        <v>229</v>
      </c>
      <c r="B31" s="15" t="s">
        <v>230</v>
      </c>
      <c r="C31" s="16" t="s">
        <v>383</v>
      </c>
      <c r="D31" s="16" t="s">
        <v>87</v>
      </c>
      <c r="E31" s="15" t="s">
        <v>187</v>
      </c>
      <c r="F31" s="15" t="s">
        <v>188</v>
      </c>
      <c r="G31" s="16" t="s">
        <v>87</v>
      </c>
      <c r="H31" s="16" t="s">
        <v>384</v>
      </c>
    </row>
    <row r="32" customFormat="false" ht="17.25" hidden="false" customHeight="true" outlineLevel="0" collapsed="false">
      <c r="A32" s="11" t="s">
        <v>229</v>
      </c>
      <c r="B32" s="12" t="s">
        <v>230</v>
      </c>
      <c r="C32" s="13" t="s">
        <v>383</v>
      </c>
      <c r="D32" s="13" t="s">
        <v>87</v>
      </c>
      <c r="E32" s="12" t="s">
        <v>304</v>
      </c>
      <c r="F32" s="12" t="s">
        <v>305</v>
      </c>
      <c r="G32" s="13" t="s">
        <v>87</v>
      </c>
      <c r="H32" s="13" t="s">
        <v>384</v>
      </c>
    </row>
    <row r="33" customFormat="false" ht="17.25" hidden="false" customHeight="true" outlineLevel="0" collapsed="false">
      <c r="A33" s="14" t="s">
        <v>235</v>
      </c>
      <c r="B33" s="15" t="s">
        <v>236</v>
      </c>
      <c r="C33" s="16" t="s">
        <v>383</v>
      </c>
      <c r="D33" s="16" t="s">
        <v>237</v>
      </c>
      <c r="E33" s="15" t="s">
        <v>242</v>
      </c>
      <c r="F33" s="15" t="s">
        <v>243</v>
      </c>
      <c r="G33" s="16" t="s">
        <v>237</v>
      </c>
      <c r="H33" s="16" t="s">
        <v>384</v>
      </c>
    </row>
    <row r="34" customFormat="false" ht="17.25" hidden="false" customHeight="true" outlineLevel="0" collapsed="false">
      <c r="A34" s="11" t="s">
        <v>235</v>
      </c>
      <c r="B34" s="12" t="s">
        <v>236</v>
      </c>
      <c r="C34" s="13" t="s">
        <v>383</v>
      </c>
      <c r="D34" s="13" t="s">
        <v>237</v>
      </c>
      <c r="E34" s="12" t="s">
        <v>251</v>
      </c>
      <c r="F34" s="12" t="s">
        <v>252</v>
      </c>
      <c r="G34" s="13" t="s">
        <v>237</v>
      </c>
      <c r="H34" s="13" t="s">
        <v>384</v>
      </c>
    </row>
    <row r="35" customFormat="false" ht="17.25" hidden="false" customHeight="true" outlineLevel="0" collapsed="false">
      <c r="A35" s="14" t="s">
        <v>235</v>
      </c>
      <c r="B35" s="15" t="s">
        <v>236</v>
      </c>
      <c r="C35" s="16" t="s">
        <v>383</v>
      </c>
      <c r="D35" s="16" t="s">
        <v>237</v>
      </c>
      <c r="E35" s="15" t="s">
        <v>255</v>
      </c>
      <c r="F35" s="15" t="s">
        <v>256</v>
      </c>
      <c r="G35" s="16" t="s">
        <v>237</v>
      </c>
      <c r="H35" s="16" t="s">
        <v>384</v>
      </c>
    </row>
    <row r="36" customFormat="false" ht="17.25" hidden="false" customHeight="true" outlineLevel="0" collapsed="false">
      <c r="A36" s="11" t="s">
        <v>242</v>
      </c>
      <c r="B36" s="12" t="s">
        <v>243</v>
      </c>
      <c r="C36" s="13" t="s">
        <v>383</v>
      </c>
      <c r="D36" s="13" t="s">
        <v>237</v>
      </c>
      <c r="E36" s="12" t="s">
        <v>246</v>
      </c>
      <c r="F36" s="12" t="s">
        <v>247</v>
      </c>
      <c r="G36" s="13" t="s">
        <v>237</v>
      </c>
      <c r="H36" s="13" t="s">
        <v>384</v>
      </c>
    </row>
    <row r="37" customFormat="false" ht="17.25" hidden="false" customHeight="true" outlineLevel="0" collapsed="false">
      <c r="A37" s="14" t="s">
        <v>242</v>
      </c>
      <c r="B37" s="15" t="s">
        <v>243</v>
      </c>
      <c r="C37" s="16" t="s">
        <v>383</v>
      </c>
      <c r="D37" s="16" t="s">
        <v>237</v>
      </c>
      <c r="E37" s="15" t="s">
        <v>313</v>
      </c>
      <c r="F37" s="15" t="s">
        <v>315</v>
      </c>
      <c r="G37" s="16" t="s">
        <v>237</v>
      </c>
      <c r="H37" s="16" t="s">
        <v>384</v>
      </c>
    </row>
    <row r="38" customFormat="false" ht="17.25" hidden="false" customHeight="true" outlineLevel="0" collapsed="false">
      <c r="A38" s="11" t="s">
        <v>242</v>
      </c>
      <c r="B38" s="12" t="s">
        <v>243</v>
      </c>
      <c r="C38" s="13" t="s">
        <v>383</v>
      </c>
      <c r="D38" s="13" t="s">
        <v>237</v>
      </c>
      <c r="E38" s="12" t="s">
        <v>340</v>
      </c>
      <c r="F38" s="12" t="s">
        <v>341</v>
      </c>
      <c r="G38" s="13" t="s">
        <v>237</v>
      </c>
      <c r="H38" s="13" t="s">
        <v>384</v>
      </c>
    </row>
    <row r="39" customFormat="false" ht="17.25" hidden="false" customHeight="true" outlineLevel="0" collapsed="false">
      <c r="A39" s="14" t="s">
        <v>246</v>
      </c>
      <c r="B39" s="15" t="s">
        <v>247</v>
      </c>
      <c r="C39" s="16" t="s">
        <v>383</v>
      </c>
      <c r="D39" s="16" t="s">
        <v>237</v>
      </c>
      <c r="E39" s="15" t="s">
        <v>340</v>
      </c>
      <c r="F39" s="15" t="s">
        <v>341</v>
      </c>
      <c r="G39" s="16" t="s">
        <v>237</v>
      </c>
      <c r="H39" s="16" t="s">
        <v>384</v>
      </c>
    </row>
    <row r="40" customFormat="false" ht="17.25" hidden="false" customHeight="true" outlineLevel="0" collapsed="false">
      <c r="A40" s="11" t="s">
        <v>251</v>
      </c>
      <c r="B40" s="12" t="s">
        <v>252</v>
      </c>
      <c r="C40" s="13" t="s">
        <v>383</v>
      </c>
      <c r="D40" s="13" t="s">
        <v>237</v>
      </c>
      <c r="E40" s="12" t="s">
        <v>345</v>
      </c>
      <c r="F40" s="12" t="s">
        <v>346</v>
      </c>
      <c r="G40" s="13" t="s">
        <v>237</v>
      </c>
      <c r="H40" s="13" t="s">
        <v>384</v>
      </c>
    </row>
    <row r="41" customFormat="false" ht="17.25" hidden="false" customHeight="true" outlineLevel="0" collapsed="false">
      <c r="A41" s="14" t="s">
        <v>255</v>
      </c>
      <c r="B41" s="15" t="s">
        <v>256</v>
      </c>
      <c r="C41" s="16" t="s">
        <v>383</v>
      </c>
      <c r="D41" s="16" t="s">
        <v>237</v>
      </c>
      <c r="E41" s="15" t="s">
        <v>309</v>
      </c>
      <c r="F41" s="15" t="s">
        <v>310</v>
      </c>
      <c r="G41" s="16" t="s">
        <v>237</v>
      </c>
      <c r="H41" s="16" t="s">
        <v>384</v>
      </c>
    </row>
    <row r="42" customFormat="false" ht="17.25" hidden="false" customHeight="true" outlineLevel="0" collapsed="false">
      <c r="A42" s="11" t="s">
        <v>164</v>
      </c>
      <c r="B42" s="12" t="s">
        <v>166</v>
      </c>
      <c r="C42" s="13" t="s">
        <v>383</v>
      </c>
      <c r="D42" s="13" t="s">
        <v>156</v>
      </c>
      <c r="E42" s="12" t="s">
        <v>171</v>
      </c>
      <c r="F42" s="12" t="s">
        <v>172</v>
      </c>
      <c r="G42" s="13" t="s">
        <v>156</v>
      </c>
      <c r="H42" s="13" t="s">
        <v>384</v>
      </c>
    </row>
    <row r="43" customFormat="false" ht="17.25" hidden="false" customHeight="true" outlineLevel="0" collapsed="false">
      <c r="A43" s="14" t="s">
        <v>164</v>
      </c>
      <c r="B43" s="15" t="s">
        <v>166</v>
      </c>
      <c r="C43" s="16" t="s">
        <v>383</v>
      </c>
      <c r="D43" s="16" t="s">
        <v>156</v>
      </c>
      <c r="E43" s="15" t="s">
        <v>176</v>
      </c>
      <c r="F43" s="15" t="s">
        <v>177</v>
      </c>
      <c r="G43" s="16" t="s">
        <v>156</v>
      </c>
      <c r="H43" s="16" t="s">
        <v>384</v>
      </c>
    </row>
    <row r="44" customFormat="false" ht="17.25" hidden="false" customHeight="true" outlineLevel="0" collapsed="false">
      <c r="A44" s="11" t="s">
        <v>164</v>
      </c>
      <c r="B44" s="12" t="s">
        <v>166</v>
      </c>
      <c r="C44" s="13" t="s">
        <v>383</v>
      </c>
      <c r="D44" s="13" t="s">
        <v>156</v>
      </c>
      <c r="E44" s="12" t="s">
        <v>181</v>
      </c>
      <c r="F44" s="12" t="s">
        <v>182</v>
      </c>
      <c r="G44" s="13" t="s">
        <v>156</v>
      </c>
      <c r="H44" s="13" t="s">
        <v>384</v>
      </c>
    </row>
    <row r="45" customFormat="false" ht="17.25" hidden="false" customHeight="true" outlineLevel="0" collapsed="false">
      <c r="A45" s="14" t="s">
        <v>164</v>
      </c>
      <c r="B45" s="15" t="s">
        <v>166</v>
      </c>
      <c r="C45" s="16" t="s">
        <v>383</v>
      </c>
      <c r="D45" s="16" t="s">
        <v>156</v>
      </c>
      <c r="E45" s="15" t="s">
        <v>331</v>
      </c>
      <c r="F45" s="15" t="s">
        <v>332</v>
      </c>
      <c r="G45" s="16" t="s">
        <v>156</v>
      </c>
      <c r="H45" s="16" t="s">
        <v>384</v>
      </c>
    </row>
    <row r="46" customFormat="false" ht="17.25" hidden="false" customHeight="true" outlineLevel="0" collapsed="false">
      <c r="A46" s="11" t="s">
        <v>171</v>
      </c>
      <c r="B46" s="12" t="s">
        <v>172</v>
      </c>
      <c r="C46" s="13" t="s">
        <v>383</v>
      </c>
      <c r="D46" s="13" t="s">
        <v>156</v>
      </c>
      <c r="E46" s="12" t="s">
        <v>176</v>
      </c>
      <c r="F46" s="12" t="s">
        <v>177</v>
      </c>
      <c r="G46" s="13" t="s">
        <v>156</v>
      </c>
      <c r="H46" s="13" t="s">
        <v>384</v>
      </c>
    </row>
    <row r="47" customFormat="false" ht="17.25" hidden="false" customHeight="true" outlineLevel="0" collapsed="false">
      <c r="A47" s="14" t="s">
        <v>171</v>
      </c>
      <c r="B47" s="15" t="s">
        <v>172</v>
      </c>
      <c r="C47" s="16" t="s">
        <v>383</v>
      </c>
      <c r="D47" s="16" t="s">
        <v>156</v>
      </c>
      <c r="E47" s="15" t="s">
        <v>331</v>
      </c>
      <c r="F47" s="15" t="s">
        <v>332</v>
      </c>
      <c r="G47" s="16" t="s">
        <v>156</v>
      </c>
      <c r="H47" s="16" t="s">
        <v>384</v>
      </c>
    </row>
    <row r="48" customFormat="false" ht="17.25" hidden="false" customHeight="true" outlineLevel="0" collapsed="false">
      <c r="A48" s="11" t="s">
        <v>176</v>
      </c>
      <c r="B48" s="12" t="s">
        <v>177</v>
      </c>
      <c r="C48" s="13" t="s">
        <v>383</v>
      </c>
      <c r="D48" s="13" t="s">
        <v>156</v>
      </c>
      <c r="E48" s="12" t="s">
        <v>154</v>
      </c>
      <c r="F48" s="12" t="s">
        <v>155</v>
      </c>
      <c r="G48" s="13" t="s">
        <v>156</v>
      </c>
      <c r="H48" s="13" t="s">
        <v>384</v>
      </c>
    </row>
    <row r="49" customFormat="false" ht="17.25" hidden="false" customHeight="true" outlineLevel="0" collapsed="false">
      <c r="A49" s="14" t="s">
        <v>176</v>
      </c>
      <c r="B49" s="15" t="s">
        <v>177</v>
      </c>
      <c r="C49" s="16" t="s">
        <v>383</v>
      </c>
      <c r="D49" s="16" t="s">
        <v>156</v>
      </c>
      <c r="E49" s="15" t="s">
        <v>187</v>
      </c>
      <c r="F49" s="15" t="s">
        <v>188</v>
      </c>
      <c r="G49" s="16" t="s">
        <v>87</v>
      </c>
      <c r="H49" s="16" t="s">
        <v>384</v>
      </c>
    </row>
    <row r="50" customFormat="false" ht="17.25" hidden="false" customHeight="true" outlineLevel="0" collapsed="false">
      <c r="A50" s="11" t="s">
        <v>176</v>
      </c>
      <c r="B50" s="12" t="s">
        <v>177</v>
      </c>
      <c r="C50" s="13" t="s">
        <v>383</v>
      </c>
      <c r="D50" s="13" t="s">
        <v>156</v>
      </c>
      <c r="E50" s="12" t="s">
        <v>192</v>
      </c>
      <c r="F50" s="12" t="s">
        <v>194</v>
      </c>
      <c r="G50" s="13" t="s">
        <v>87</v>
      </c>
      <c r="H50" s="13" t="s">
        <v>384</v>
      </c>
    </row>
    <row r="51" customFormat="false" ht="17.25" hidden="false" customHeight="true" outlineLevel="0" collapsed="false">
      <c r="A51" s="14" t="s">
        <v>176</v>
      </c>
      <c r="B51" s="15" t="s">
        <v>177</v>
      </c>
      <c r="C51" s="16" t="s">
        <v>383</v>
      </c>
      <c r="D51" s="16" t="s">
        <v>156</v>
      </c>
      <c r="E51" s="15" t="s">
        <v>283</v>
      </c>
      <c r="F51" s="15" t="s">
        <v>284</v>
      </c>
      <c r="G51" s="16" t="s">
        <v>156</v>
      </c>
      <c r="H51" s="16" t="s">
        <v>384</v>
      </c>
    </row>
    <row r="52" customFormat="false" ht="17.25" hidden="false" customHeight="true" outlineLevel="0" collapsed="false">
      <c r="A52" s="11" t="s">
        <v>192</v>
      </c>
      <c r="B52" s="12" t="s">
        <v>194</v>
      </c>
      <c r="C52" s="13" t="s">
        <v>383</v>
      </c>
      <c r="D52" s="13" t="s">
        <v>87</v>
      </c>
      <c r="E52" s="12" t="s">
        <v>198</v>
      </c>
      <c r="F52" s="12" t="s">
        <v>199</v>
      </c>
      <c r="G52" s="13" t="s">
        <v>87</v>
      </c>
      <c r="H52" s="13" t="s">
        <v>384</v>
      </c>
    </row>
    <row r="53" customFormat="false" ht="17.25" hidden="false" customHeight="true" outlineLevel="0" collapsed="false">
      <c r="A53" s="14" t="s">
        <v>192</v>
      </c>
      <c r="B53" s="15" t="s">
        <v>194</v>
      </c>
      <c r="C53" s="16" t="s">
        <v>383</v>
      </c>
      <c r="D53" s="16" t="s">
        <v>87</v>
      </c>
      <c r="E53" s="15" t="s">
        <v>335</v>
      </c>
      <c r="F53" s="15" t="s">
        <v>336</v>
      </c>
      <c r="G53" s="16" t="s">
        <v>87</v>
      </c>
      <c r="H53" s="16" t="s">
        <v>384</v>
      </c>
    </row>
    <row r="54" customFormat="false" ht="17.25" hidden="false" customHeight="true" outlineLevel="0" collapsed="false">
      <c r="A54" s="11" t="s">
        <v>198</v>
      </c>
      <c r="B54" s="12" t="s">
        <v>199</v>
      </c>
      <c r="C54" s="13" t="s">
        <v>383</v>
      </c>
      <c r="D54" s="13" t="s">
        <v>87</v>
      </c>
      <c r="E54" s="12" t="s">
        <v>203</v>
      </c>
      <c r="F54" s="12" t="s">
        <v>204</v>
      </c>
      <c r="G54" s="13" t="s">
        <v>87</v>
      </c>
      <c r="H54" s="13" t="s">
        <v>384</v>
      </c>
    </row>
    <row r="55" customFormat="false" ht="17.25" hidden="false" customHeight="true" outlineLevel="0" collapsed="false">
      <c r="A55" s="14" t="s">
        <v>198</v>
      </c>
      <c r="B55" s="15" t="s">
        <v>199</v>
      </c>
      <c r="C55" s="16" t="s">
        <v>383</v>
      </c>
      <c r="D55" s="16" t="s">
        <v>87</v>
      </c>
      <c r="E55" s="15" t="s">
        <v>335</v>
      </c>
      <c r="F55" s="15" t="s">
        <v>336</v>
      </c>
      <c r="G55" s="16" t="s">
        <v>87</v>
      </c>
      <c r="H55" s="16" t="s">
        <v>384</v>
      </c>
    </row>
    <row r="56" customFormat="false" ht="17.25" hidden="false" customHeight="true" outlineLevel="0" collapsed="false">
      <c r="A56" s="11" t="s">
        <v>203</v>
      </c>
      <c r="B56" s="12" t="s">
        <v>204</v>
      </c>
      <c r="C56" s="13" t="s">
        <v>383</v>
      </c>
      <c r="D56" s="13" t="s">
        <v>87</v>
      </c>
      <c r="E56" s="12" t="s">
        <v>224</v>
      </c>
      <c r="F56" s="12" t="s">
        <v>225</v>
      </c>
      <c r="G56" s="13" t="s">
        <v>87</v>
      </c>
      <c r="H56" s="13" t="s">
        <v>384</v>
      </c>
    </row>
    <row r="57" customFormat="false" ht="17.25" hidden="false" customHeight="true" outlineLevel="0" collapsed="false">
      <c r="A57" s="14" t="s">
        <v>203</v>
      </c>
      <c r="B57" s="15" t="s">
        <v>204</v>
      </c>
      <c r="C57" s="16" t="s">
        <v>383</v>
      </c>
      <c r="D57" s="16" t="s">
        <v>87</v>
      </c>
      <c r="E57" s="15" t="s">
        <v>209</v>
      </c>
      <c r="F57" s="15" t="s">
        <v>210</v>
      </c>
      <c r="G57" s="16" t="s">
        <v>87</v>
      </c>
      <c r="H57" s="16" t="s">
        <v>384</v>
      </c>
    </row>
    <row r="58" customFormat="false" ht="17.25" hidden="false" customHeight="true" outlineLevel="0" collapsed="false">
      <c r="A58" s="11" t="s">
        <v>203</v>
      </c>
      <c r="B58" s="12" t="s">
        <v>204</v>
      </c>
      <c r="C58" s="13" t="s">
        <v>383</v>
      </c>
      <c r="D58" s="13" t="s">
        <v>87</v>
      </c>
      <c r="E58" s="12" t="s">
        <v>213</v>
      </c>
      <c r="F58" s="12" t="s">
        <v>214</v>
      </c>
      <c r="G58" s="13" t="s">
        <v>87</v>
      </c>
      <c r="H58" s="13" t="s">
        <v>384</v>
      </c>
    </row>
    <row r="59" customFormat="false" ht="17.25" hidden="false" customHeight="true" outlineLevel="0" collapsed="false">
      <c r="A59" s="14" t="s">
        <v>203</v>
      </c>
      <c r="B59" s="15" t="s">
        <v>204</v>
      </c>
      <c r="C59" s="16" t="s">
        <v>383</v>
      </c>
      <c r="D59" s="16" t="s">
        <v>87</v>
      </c>
      <c r="E59" s="15" t="s">
        <v>292</v>
      </c>
      <c r="F59" s="15" t="s">
        <v>293</v>
      </c>
      <c r="G59" s="16" t="s">
        <v>87</v>
      </c>
      <c r="H59" s="16" t="s">
        <v>384</v>
      </c>
    </row>
    <row r="60" customFormat="false" ht="17.25" hidden="false" customHeight="true" outlineLevel="0" collapsed="false">
      <c r="A60" s="11" t="s">
        <v>385</v>
      </c>
      <c r="B60" s="12" t="s">
        <v>386</v>
      </c>
      <c r="C60" s="13" t="s">
        <v>364</v>
      </c>
      <c r="D60" s="13" t="s">
        <v>382</v>
      </c>
      <c r="E60" s="12" t="s">
        <v>313</v>
      </c>
      <c r="F60" s="12" t="s">
        <v>315</v>
      </c>
      <c r="G60" s="13" t="s">
        <v>237</v>
      </c>
      <c r="H60" s="18" t="s">
        <v>366</v>
      </c>
    </row>
    <row r="61" customFormat="false" ht="17.25" hidden="false" customHeight="true" outlineLevel="0" collapsed="false">
      <c r="A61" s="14" t="s">
        <v>259</v>
      </c>
      <c r="B61" s="15" t="s">
        <v>262</v>
      </c>
      <c r="C61" s="16" t="s">
        <v>383</v>
      </c>
      <c r="D61" s="16" t="s">
        <v>156</v>
      </c>
      <c r="E61" s="15" t="s">
        <v>266</v>
      </c>
      <c r="F61" s="15" t="s">
        <v>267</v>
      </c>
      <c r="G61" s="16" t="s">
        <v>156</v>
      </c>
      <c r="H61" s="16" t="s">
        <v>384</v>
      </c>
    </row>
    <row r="62" customFormat="false" ht="17.25" hidden="false" customHeight="true" outlineLevel="0" collapsed="false">
      <c r="A62" s="11" t="s">
        <v>259</v>
      </c>
      <c r="B62" s="12" t="s">
        <v>262</v>
      </c>
      <c r="C62" s="13" t="s">
        <v>383</v>
      </c>
      <c r="D62" s="13" t="s">
        <v>156</v>
      </c>
      <c r="E62" s="12" t="s">
        <v>270</v>
      </c>
      <c r="F62" s="12" t="s">
        <v>271</v>
      </c>
      <c r="G62" s="13" t="s">
        <v>156</v>
      </c>
      <c r="H62" s="13" t="s">
        <v>384</v>
      </c>
    </row>
    <row r="63" customFormat="false" ht="17.25" hidden="false" customHeight="true" outlineLevel="0" collapsed="false">
      <c r="A63" s="14" t="s">
        <v>259</v>
      </c>
      <c r="B63" s="15" t="s">
        <v>262</v>
      </c>
      <c r="C63" s="16" t="s">
        <v>383</v>
      </c>
      <c r="D63" s="16" t="s">
        <v>156</v>
      </c>
      <c r="E63" s="15" t="s">
        <v>274</v>
      </c>
      <c r="F63" s="15" t="s">
        <v>275</v>
      </c>
      <c r="G63" s="16" t="s">
        <v>156</v>
      </c>
      <c r="H63" s="16" t="s">
        <v>384</v>
      </c>
    </row>
    <row r="64" customFormat="false" ht="17.25" hidden="false" customHeight="true" outlineLevel="0" collapsed="false">
      <c r="A64" s="11" t="s">
        <v>270</v>
      </c>
      <c r="B64" s="12" t="s">
        <v>271</v>
      </c>
      <c r="C64" s="13" t="s">
        <v>383</v>
      </c>
      <c r="D64" s="13" t="s">
        <v>156</v>
      </c>
      <c r="E64" s="12" t="s">
        <v>278</v>
      </c>
      <c r="F64" s="12" t="s">
        <v>279</v>
      </c>
      <c r="G64" s="13" t="s">
        <v>156</v>
      </c>
      <c r="H64" s="13" t="s">
        <v>384</v>
      </c>
    </row>
    <row r="65" customFormat="false" ht="17.25" hidden="false" customHeight="true" outlineLevel="0" collapsed="false">
      <c r="A65" s="14" t="s">
        <v>283</v>
      </c>
      <c r="B65" s="15" t="s">
        <v>284</v>
      </c>
      <c r="C65" s="16" t="s">
        <v>383</v>
      </c>
      <c r="D65" s="16" t="s">
        <v>156</v>
      </c>
      <c r="E65" s="15" t="s">
        <v>288</v>
      </c>
      <c r="F65" s="15" t="s">
        <v>289</v>
      </c>
      <c r="G65" s="16" t="s">
        <v>156</v>
      </c>
      <c r="H65" s="16" t="s">
        <v>384</v>
      </c>
    </row>
    <row r="66" customFormat="false" ht="17.25" hidden="false" customHeight="true" outlineLevel="0" collapsed="false">
      <c r="A66" s="11" t="s">
        <v>300</v>
      </c>
      <c r="B66" s="12" t="s">
        <v>301</v>
      </c>
      <c r="C66" s="13" t="s">
        <v>383</v>
      </c>
      <c r="D66" s="13" t="s">
        <v>87</v>
      </c>
      <c r="E66" s="12" t="s">
        <v>304</v>
      </c>
      <c r="F66" s="12" t="s">
        <v>305</v>
      </c>
      <c r="G66" s="13" t="s">
        <v>87</v>
      </c>
      <c r="H66" s="13" t="s">
        <v>384</v>
      </c>
    </row>
    <row r="67" customFormat="false" ht="17.25" hidden="false" customHeight="true" outlineLevel="0" collapsed="false">
      <c r="A67" s="14" t="s">
        <v>387</v>
      </c>
      <c r="B67" s="15" t="s">
        <v>388</v>
      </c>
      <c r="C67" s="16" t="s">
        <v>364</v>
      </c>
      <c r="D67" s="16" t="s">
        <v>382</v>
      </c>
      <c r="E67" s="15" t="s">
        <v>259</v>
      </c>
      <c r="F67" s="15" t="s">
        <v>262</v>
      </c>
      <c r="G67" s="16" t="s">
        <v>156</v>
      </c>
      <c r="H67" s="18" t="s">
        <v>366</v>
      </c>
    </row>
  </sheetData>
  <autoFilter ref="A1:H6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2"/>
    <col collapsed="false" customWidth="true" hidden="false" outlineLevel="0" max="3" min="3" style="0" width="20"/>
    <col collapsed="false" customWidth="true" hidden="false" outlineLevel="0" max="4" min="4" style="0" width="26"/>
    <col collapsed="false" customWidth="true" hidden="false" outlineLevel="0" max="5" min="5" style="0" width="13"/>
  </cols>
  <sheetData>
    <row r="1" customFormat="false" ht="30" hidden="false" customHeight="true" outlineLevel="0" collapsed="false">
      <c r="A1" s="10" t="s">
        <v>389</v>
      </c>
      <c r="B1" s="10" t="s">
        <v>390</v>
      </c>
      <c r="C1" s="10" t="s">
        <v>391</v>
      </c>
      <c r="D1" s="10" t="s">
        <v>392</v>
      </c>
      <c r="E1" s="10" t="s">
        <v>393</v>
      </c>
    </row>
    <row r="2" customFormat="false" ht="28.5" hidden="false" customHeight="true" outlineLevel="0" collapsed="false">
      <c r="A2" s="32" t="s">
        <v>394</v>
      </c>
      <c r="B2" s="33" t="s">
        <v>395</v>
      </c>
      <c r="C2" s="33" t="s">
        <v>219</v>
      </c>
      <c r="D2" s="33" t="s">
        <v>229</v>
      </c>
      <c r="E2" s="34" t="s">
        <v>366</v>
      </c>
    </row>
    <row r="3" customFormat="false" ht="28.5" hidden="false" customHeight="true" outlineLevel="0" collapsed="false">
      <c r="A3" s="32" t="s">
        <v>396</v>
      </c>
      <c r="B3" s="33" t="s">
        <v>397</v>
      </c>
      <c r="C3" s="33" t="s">
        <v>398</v>
      </c>
      <c r="D3" s="33" t="s">
        <v>399</v>
      </c>
      <c r="E3" s="34" t="s">
        <v>366</v>
      </c>
    </row>
    <row r="4" customFormat="false" ht="28.5" hidden="false" customHeight="true" outlineLevel="0" collapsed="false">
      <c r="A4" s="32" t="s">
        <v>400</v>
      </c>
      <c r="B4" s="33" t="s">
        <v>401</v>
      </c>
      <c r="C4" s="33" t="s">
        <v>402</v>
      </c>
      <c r="D4" s="33" t="s">
        <v>403</v>
      </c>
      <c r="E4" s="34" t="s">
        <v>366</v>
      </c>
    </row>
    <row r="5" customFormat="false" ht="28.5" hidden="false" customHeight="true" outlineLevel="0" collapsed="false">
      <c r="A5" s="32" t="s">
        <v>404</v>
      </c>
      <c r="B5" s="33" t="s">
        <v>405</v>
      </c>
      <c r="C5" s="33" t="s">
        <v>165</v>
      </c>
      <c r="D5" s="33" t="s">
        <v>187</v>
      </c>
      <c r="E5" s="34" t="s">
        <v>366</v>
      </c>
    </row>
    <row r="6" customFormat="false" ht="28.5" hidden="false" customHeight="true" outlineLevel="0" collapsed="false">
      <c r="A6" s="11" t="s">
        <v>406</v>
      </c>
      <c r="B6" s="12" t="s">
        <v>407</v>
      </c>
      <c r="C6" s="12" t="s">
        <v>408</v>
      </c>
      <c r="D6" s="12" t="s">
        <v>409</v>
      </c>
      <c r="E6" s="13" t="s">
        <v>384</v>
      </c>
    </row>
    <row r="7" customFormat="false" ht="17.25" hidden="false" customHeight="true" outlineLevel="0" collapsed="false">
      <c r="A7" s="32" t="s">
        <v>410</v>
      </c>
      <c r="B7" s="33" t="s">
        <v>411</v>
      </c>
      <c r="C7" s="33" t="s">
        <v>219</v>
      </c>
      <c r="D7" s="33" t="s">
        <v>235</v>
      </c>
      <c r="E7" s="34" t="s">
        <v>366</v>
      </c>
    </row>
    <row r="8" customFormat="false" ht="28.5" hidden="false" customHeight="true" outlineLevel="0" collapsed="false">
      <c r="A8" s="32" t="s">
        <v>412</v>
      </c>
      <c r="B8" s="33" t="s">
        <v>413</v>
      </c>
      <c r="C8" s="33" t="s">
        <v>219</v>
      </c>
      <c r="D8" s="33" t="s">
        <v>414</v>
      </c>
      <c r="E8" s="34" t="s">
        <v>366</v>
      </c>
    </row>
    <row r="9" customFormat="false" ht="17.25" hidden="false" customHeight="true" outlineLevel="0" collapsed="false">
      <c r="A9" s="32" t="s">
        <v>415</v>
      </c>
      <c r="B9" s="33" t="s">
        <v>416</v>
      </c>
      <c r="C9" s="33" t="s">
        <v>193</v>
      </c>
      <c r="D9" s="33" t="s">
        <v>209</v>
      </c>
      <c r="E9" s="34" t="s">
        <v>366</v>
      </c>
    </row>
    <row r="10" customFormat="false" ht="28.5" hidden="false" customHeight="true" outlineLevel="0" collapsed="false">
      <c r="A10" s="32" t="s">
        <v>417</v>
      </c>
      <c r="B10" s="33" t="s">
        <v>418</v>
      </c>
      <c r="C10" s="33" t="s">
        <v>419</v>
      </c>
      <c r="D10" s="33" t="s">
        <v>192</v>
      </c>
      <c r="E10" s="34" t="s">
        <v>366</v>
      </c>
    </row>
    <row r="11" customFormat="false" ht="28.5" hidden="false" customHeight="true" outlineLevel="0" collapsed="false">
      <c r="A11" s="14" t="s">
        <v>420</v>
      </c>
      <c r="B11" s="15" t="s">
        <v>421</v>
      </c>
      <c r="C11" s="15" t="s">
        <v>422</v>
      </c>
      <c r="D11" s="15" t="s">
        <v>423</v>
      </c>
      <c r="E11" s="16" t="s">
        <v>384</v>
      </c>
    </row>
    <row r="12" customFormat="false" ht="28.5" hidden="false" customHeight="true" outlineLevel="0" collapsed="false">
      <c r="A12" s="11" t="s">
        <v>424</v>
      </c>
      <c r="B12" s="12" t="s">
        <v>425</v>
      </c>
      <c r="C12" s="12" t="s">
        <v>426</v>
      </c>
      <c r="D12" s="12" t="s">
        <v>427</v>
      </c>
      <c r="E12" s="13" t="s">
        <v>384</v>
      </c>
    </row>
    <row r="13" customFormat="false" ht="28.5" hidden="false" customHeight="true" outlineLevel="0" collapsed="false">
      <c r="A13" s="32" t="s">
        <v>428</v>
      </c>
      <c r="B13" s="33" t="s">
        <v>429</v>
      </c>
      <c r="C13" s="33" t="s">
        <v>430</v>
      </c>
      <c r="D13" s="33" t="s">
        <v>431</v>
      </c>
      <c r="E13" s="34" t="s">
        <v>366</v>
      </c>
    </row>
    <row r="14" customFormat="false" ht="28.5" hidden="false" customHeight="true" outlineLevel="0" collapsed="false">
      <c r="A14" s="11" t="s">
        <v>432</v>
      </c>
      <c r="B14" s="12" t="s">
        <v>433</v>
      </c>
      <c r="C14" s="12" t="s">
        <v>434</v>
      </c>
      <c r="D14" s="12" t="s">
        <v>435</v>
      </c>
      <c r="E14" s="13" t="s">
        <v>384</v>
      </c>
    </row>
    <row r="15" customFormat="false" ht="28.5" hidden="false" customHeight="true" outlineLevel="0" collapsed="false">
      <c r="A15" s="14" t="s">
        <v>436</v>
      </c>
      <c r="B15" s="15" t="s">
        <v>437</v>
      </c>
      <c r="C15" s="15" t="s">
        <v>438</v>
      </c>
      <c r="D15" s="15" t="s">
        <v>439</v>
      </c>
      <c r="E15" s="16" t="s">
        <v>384</v>
      </c>
    </row>
    <row r="16" customFormat="false" ht="28.5" hidden="false" customHeight="true" outlineLevel="0" collapsed="false">
      <c r="A16" s="32" t="s">
        <v>440</v>
      </c>
      <c r="B16" s="33" t="s">
        <v>441</v>
      </c>
      <c r="C16" s="33" t="s">
        <v>442</v>
      </c>
      <c r="D16" s="33" t="s">
        <v>443</v>
      </c>
      <c r="E16" s="34" t="s">
        <v>366</v>
      </c>
    </row>
    <row r="17" customFormat="false" ht="28.5" hidden="false" customHeight="true" outlineLevel="0" collapsed="false">
      <c r="A17" s="14" t="s">
        <v>444</v>
      </c>
      <c r="B17" s="15" t="s">
        <v>445</v>
      </c>
      <c r="C17" s="15" t="s">
        <v>446</v>
      </c>
      <c r="D17" s="15" t="s">
        <v>447</v>
      </c>
      <c r="E17" s="16" t="s">
        <v>384</v>
      </c>
    </row>
    <row r="18" customFormat="false" ht="28.5" hidden="false" customHeight="true" outlineLevel="0" collapsed="false">
      <c r="A18" s="11" t="s">
        <v>448</v>
      </c>
      <c r="B18" s="12" t="s">
        <v>449</v>
      </c>
      <c r="C18" s="12" t="s">
        <v>450</v>
      </c>
      <c r="D18" s="12" t="s">
        <v>451</v>
      </c>
      <c r="E18" s="13" t="s">
        <v>384</v>
      </c>
    </row>
    <row r="19" customFormat="false" ht="28.5" hidden="false" customHeight="true" outlineLevel="0" collapsed="false">
      <c r="A19" s="14" t="s">
        <v>452</v>
      </c>
      <c r="B19" s="15" t="s">
        <v>453</v>
      </c>
      <c r="C19" s="15" t="s">
        <v>446</v>
      </c>
      <c r="D19" s="15" t="s">
        <v>454</v>
      </c>
      <c r="E19" s="16" t="s">
        <v>384</v>
      </c>
    </row>
    <row r="20" customFormat="false" ht="28.5" hidden="false" customHeight="true" outlineLevel="0" collapsed="false">
      <c r="A20" s="11" t="s">
        <v>455</v>
      </c>
      <c r="B20" s="12" t="s">
        <v>456</v>
      </c>
      <c r="C20" s="12" t="s">
        <v>457</v>
      </c>
      <c r="D20" s="12" t="s">
        <v>458</v>
      </c>
      <c r="E20" s="13" t="s">
        <v>384</v>
      </c>
    </row>
    <row r="21" customFormat="false" ht="28.5" hidden="false" customHeight="true" outlineLevel="0" collapsed="false">
      <c r="A21" s="32" t="s">
        <v>459</v>
      </c>
      <c r="B21" s="33" t="s">
        <v>460</v>
      </c>
      <c r="C21" s="33" t="s">
        <v>193</v>
      </c>
      <c r="D21" s="33" t="s">
        <v>209</v>
      </c>
      <c r="E21" s="34" t="s">
        <v>366</v>
      </c>
    </row>
    <row r="22" customFormat="false" ht="40.5" hidden="false" customHeight="true" outlineLevel="0" collapsed="false">
      <c r="A22" s="11" t="s">
        <v>461</v>
      </c>
      <c r="B22" s="12" t="s">
        <v>462</v>
      </c>
      <c r="C22" s="12" t="s">
        <v>463</v>
      </c>
      <c r="D22" s="12" t="s">
        <v>464</v>
      </c>
      <c r="E22" s="13" t="s">
        <v>384</v>
      </c>
    </row>
    <row r="23" customFormat="false" ht="28.5" hidden="false" customHeight="true" outlineLevel="0" collapsed="false">
      <c r="A23" s="14" t="s">
        <v>465</v>
      </c>
      <c r="B23" s="15" t="s">
        <v>466</v>
      </c>
      <c r="C23" s="15" t="s">
        <v>467</v>
      </c>
      <c r="D23" s="15" t="s">
        <v>468</v>
      </c>
      <c r="E23" s="16" t="s">
        <v>384</v>
      </c>
    </row>
    <row r="24" customFormat="false" ht="28.5" hidden="false" customHeight="true" outlineLevel="0" collapsed="false">
      <c r="A24" s="11" t="s">
        <v>469</v>
      </c>
      <c r="B24" s="12" t="s">
        <v>470</v>
      </c>
      <c r="C24" s="12" t="s">
        <v>219</v>
      </c>
      <c r="D24" s="12" t="s">
        <v>458</v>
      </c>
      <c r="E24" s="13" t="s">
        <v>384</v>
      </c>
    </row>
    <row r="25" customFormat="false" ht="28.5" hidden="false" customHeight="true" outlineLevel="0" collapsed="false">
      <c r="A25" s="14" t="s">
        <v>471</v>
      </c>
      <c r="B25" s="15" t="s">
        <v>472</v>
      </c>
      <c r="C25" s="15" t="s">
        <v>473</v>
      </c>
      <c r="D25" s="15" t="s">
        <v>474</v>
      </c>
      <c r="E25" s="16" t="s">
        <v>384</v>
      </c>
    </row>
    <row r="26" customFormat="false" ht="28.5" hidden="false" customHeight="true" outlineLevel="0" collapsed="false">
      <c r="A26" s="11" t="s">
        <v>475</v>
      </c>
      <c r="B26" s="12" t="s">
        <v>476</v>
      </c>
      <c r="C26" s="12" t="s">
        <v>402</v>
      </c>
      <c r="D26" s="12" t="s">
        <v>477</v>
      </c>
      <c r="E26" s="13" t="s">
        <v>384</v>
      </c>
    </row>
    <row r="27" customFormat="false" ht="28.5" hidden="false" customHeight="true" outlineLevel="0" collapsed="false">
      <c r="A27" s="32" t="s">
        <v>478</v>
      </c>
      <c r="B27" s="33" t="s">
        <v>479</v>
      </c>
      <c r="C27" s="33" t="s">
        <v>480</v>
      </c>
      <c r="D27" s="33" t="s">
        <v>481</v>
      </c>
      <c r="E27" s="34" t="s">
        <v>366</v>
      </c>
    </row>
    <row r="28" customFormat="false" ht="28.5" hidden="false" customHeight="true" outlineLevel="0" collapsed="false">
      <c r="A28" s="32" t="s">
        <v>482</v>
      </c>
      <c r="B28" s="33" t="s">
        <v>483</v>
      </c>
      <c r="C28" s="33" t="s">
        <v>165</v>
      </c>
      <c r="D28" s="33" t="s">
        <v>176</v>
      </c>
      <c r="E28" s="34" t="s">
        <v>366</v>
      </c>
    </row>
    <row r="29" customFormat="false" ht="28.5" hidden="false" customHeight="true" outlineLevel="0" collapsed="false">
      <c r="A29" s="32" t="s">
        <v>484</v>
      </c>
      <c r="B29" s="33" t="s">
        <v>485</v>
      </c>
      <c r="C29" s="33" t="s">
        <v>219</v>
      </c>
      <c r="D29" s="33" t="s">
        <v>229</v>
      </c>
      <c r="E29" s="34" t="s">
        <v>366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52"/>
    <col collapsed="false" customWidth="true" hidden="false" outlineLevel="0" max="4" min="4" style="0" width="32"/>
    <col collapsed="false" customWidth="true" hidden="false" outlineLevel="0" max="5" min="5" style="0" width="13"/>
  </cols>
  <sheetData>
    <row r="1" customFormat="false" ht="30" hidden="false" customHeight="true" outlineLevel="0" collapsed="false">
      <c r="A1" s="10" t="s">
        <v>486</v>
      </c>
      <c r="B1" s="10" t="s">
        <v>487</v>
      </c>
      <c r="C1" s="10" t="s">
        <v>488</v>
      </c>
      <c r="D1" s="10" t="s">
        <v>489</v>
      </c>
      <c r="E1" s="10" t="s">
        <v>393</v>
      </c>
    </row>
    <row r="2" customFormat="false" ht="28.5" hidden="false" customHeight="true" outlineLevel="0" collapsed="false">
      <c r="A2" s="11" t="s">
        <v>490</v>
      </c>
      <c r="B2" s="12" t="s">
        <v>491</v>
      </c>
      <c r="C2" s="12" t="s">
        <v>492</v>
      </c>
      <c r="D2" s="12" t="s">
        <v>493</v>
      </c>
      <c r="E2" s="13" t="s">
        <v>384</v>
      </c>
    </row>
    <row r="3" customFormat="false" ht="17.25" hidden="false" customHeight="true" outlineLevel="0" collapsed="false">
      <c r="A3" s="32" t="s">
        <v>494</v>
      </c>
      <c r="B3" s="33" t="s">
        <v>495</v>
      </c>
      <c r="C3" s="33" t="s">
        <v>496</v>
      </c>
      <c r="D3" s="33" t="s">
        <v>497</v>
      </c>
      <c r="E3" s="34" t="s">
        <v>366</v>
      </c>
    </row>
    <row r="4" customFormat="false" ht="28.5" hidden="false" customHeight="true" outlineLevel="0" collapsed="false">
      <c r="A4" s="11" t="s">
        <v>498</v>
      </c>
      <c r="B4" s="12" t="s">
        <v>499</v>
      </c>
      <c r="C4" s="12" t="s">
        <v>500</v>
      </c>
      <c r="D4" s="12" t="s">
        <v>501</v>
      </c>
      <c r="E4" s="13" t="s">
        <v>384</v>
      </c>
    </row>
    <row r="5" customFormat="false" ht="28.5" hidden="false" customHeight="true" outlineLevel="0" collapsed="false">
      <c r="A5" s="32" t="s">
        <v>502</v>
      </c>
      <c r="B5" s="33" t="s">
        <v>503</v>
      </c>
      <c r="C5" s="33" t="s">
        <v>504</v>
      </c>
      <c r="D5" s="33" t="s">
        <v>505</v>
      </c>
      <c r="E5" s="34" t="s">
        <v>366</v>
      </c>
    </row>
    <row r="6" customFormat="false" ht="28.5" hidden="false" customHeight="true" outlineLevel="0" collapsed="false">
      <c r="A6" s="11" t="s">
        <v>506</v>
      </c>
      <c r="B6" s="12" t="s">
        <v>507</v>
      </c>
      <c r="C6" s="12" t="s">
        <v>508</v>
      </c>
      <c r="D6" s="12" t="s">
        <v>509</v>
      </c>
      <c r="E6" s="13" t="s">
        <v>384</v>
      </c>
    </row>
    <row r="7" customFormat="false" ht="28.5" hidden="false" customHeight="true" outlineLevel="0" collapsed="false">
      <c r="A7" s="14" t="s">
        <v>510</v>
      </c>
      <c r="B7" s="15" t="s">
        <v>511</v>
      </c>
      <c r="C7" s="15" t="s">
        <v>512</v>
      </c>
      <c r="D7" s="15" t="s">
        <v>513</v>
      </c>
      <c r="E7" s="16" t="s">
        <v>384</v>
      </c>
    </row>
    <row r="8" customFormat="false" ht="28.5" hidden="false" customHeight="true" outlineLevel="0" collapsed="false">
      <c r="A8" s="11" t="s">
        <v>514</v>
      </c>
      <c r="B8" s="12" t="s">
        <v>515</v>
      </c>
      <c r="C8" s="12" t="s">
        <v>516</v>
      </c>
      <c r="D8" s="12" t="s">
        <v>517</v>
      </c>
      <c r="E8" s="13" t="s">
        <v>384</v>
      </c>
    </row>
    <row r="9" customFormat="false" ht="28.5" hidden="false" customHeight="true" outlineLevel="0" collapsed="false">
      <c r="A9" s="32" t="s">
        <v>518</v>
      </c>
      <c r="B9" s="33" t="s">
        <v>519</v>
      </c>
      <c r="C9" s="33" t="s">
        <v>520</v>
      </c>
      <c r="D9" s="33" t="s">
        <v>521</v>
      </c>
      <c r="E9" s="34" t="s">
        <v>366</v>
      </c>
    </row>
    <row r="10" customFormat="false" ht="28.5" hidden="false" customHeight="true" outlineLevel="0" collapsed="false">
      <c r="A10" s="32" t="s">
        <v>522</v>
      </c>
      <c r="B10" s="33" t="s">
        <v>523</v>
      </c>
      <c r="C10" s="33" t="s">
        <v>524</v>
      </c>
      <c r="D10" s="33" t="s">
        <v>525</v>
      </c>
      <c r="E10" s="34" t="s">
        <v>366</v>
      </c>
    </row>
    <row r="11" customFormat="false" ht="28.5" hidden="false" customHeight="true" outlineLevel="0" collapsed="false">
      <c r="A11" s="32" t="s">
        <v>526</v>
      </c>
      <c r="B11" s="33" t="s">
        <v>527</v>
      </c>
      <c r="C11" s="33" t="s">
        <v>528</v>
      </c>
      <c r="D11" s="33" t="s">
        <v>529</v>
      </c>
      <c r="E11" s="34" t="s">
        <v>366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5"/>
    <col collapsed="false" customWidth="true" hidden="false" outlineLevel="0" max="4" min="4" style="0" width="9"/>
    <col collapsed="false" customWidth="true" hidden="false" outlineLevel="0" max="5" min="5" style="0" width="10"/>
  </cols>
  <sheetData>
    <row r="1" customFormat="false" ht="30" hidden="false" customHeight="true" outlineLevel="0" collapsed="false">
      <c r="A1" s="10" t="s">
        <v>530</v>
      </c>
      <c r="B1" s="10" t="s">
        <v>531</v>
      </c>
      <c r="C1" s="10" t="s">
        <v>532</v>
      </c>
      <c r="D1" s="10" t="s">
        <v>105</v>
      </c>
      <c r="E1" s="10" t="s">
        <v>101</v>
      </c>
    </row>
    <row r="2" customFormat="false" ht="17.25" hidden="false" customHeight="true" outlineLevel="0" collapsed="false">
      <c r="A2" s="12" t="s">
        <v>77</v>
      </c>
      <c r="B2" s="12" t="s">
        <v>117</v>
      </c>
      <c r="C2" s="12" t="s">
        <v>113</v>
      </c>
      <c r="D2" s="13" t="s">
        <v>116</v>
      </c>
      <c r="E2" s="13" t="s">
        <v>114</v>
      </c>
    </row>
    <row r="3" customFormat="false" ht="17.25" hidden="false" customHeight="true" outlineLevel="0" collapsed="false">
      <c r="A3" s="15" t="s">
        <v>77</v>
      </c>
      <c r="B3" s="15" t="s">
        <v>127</v>
      </c>
      <c r="C3" s="15" t="s">
        <v>125</v>
      </c>
      <c r="D3" s="16" t="s">
        <v>116</v>
      </c>
      <c r="E3" s="16" t="s">
        <v>114</v>
      </c>
    </row>
    <row r="4" customFormat="false" ht="17.25" hidden="false" customHeight="true" outlineLevel="0" collapsed="false">
      <c r="A4" s="12" t="s">
        <v>77</v>
      </c>
      <c r="B4" s="12" t="s">
        <v>150</v>
      </c>
      <c r="C4" s="12" t="s">
        <v>148</v>
      </c>
      <c r="D4" s="13" t="s">
        <v>116</v>
      </c>
      <c r="E4" s="13" t="s">
        <v>114</v>
      </c>
    </row>
    <row r="5" customFormat="false" ht="17.25" hidden="false" customHeight="true" outlineLevel="0" collapsed="false">
      <c r="A5" s="15" t="s">
        <v>77</v>
      </c>
      <c r="B5" s="15" t="s">
        <v>144</v>
      </c>
      <c r="C5" s="15" t="s">
        <v>142</v>
      </c>
      <c r="D5" s="16" t="s">
        <v>116</v>
      </c>
      <c r="E5" s="16" t="s">
        <v>114</v>
      </c>
    </row>
    <row r="6" customFormat="false" ht="17.25" hidden="false" customHeight="true" outlineLevel="0" collapsed="false">
      <c r="A6" s="12" t="s">
        <v>77</v>
      </c>
      <c r="B6" s="12" t="s">
        <v>138</v>
      </c>
      <c r="C6" s="12" t="s">
        <v>136</v>
      </c>
      <c r="D6" s="13" t="s">
        <v>116</v>
      </c>
      <c r="E6" s="13" t="s">
        <v>114</v>
      </c>
    </row>
    <row r="7" customFormat="false" ht="17.25" hidden="false" customHeight="true" outlineLevel="0" collapsed="false">
      <c r="A7" s="15" t="s">
        <v>77</v>
      </c>
      <c r="B7" s="15" t="s">
        <v>133</v>
      </c>
      <c r="C7" s="15" t="s">
        <v>131</v>
      </c>
      <c r="D7" s="16" t="s">
        <v>116</v>
      </c>
      <c r="E7" s="16" t="s">
        <v>114</v>
      </c>
    </row>
    <row r="8" customFormat="false" ht="17.25" hidden="false" customHeight="true" outlineLevel="0" collapsed="false">
      <c r="A8" s="12" t="s">
        <v>219</v>
      </c>
      <c r="B8" s="12" t="s">
        <v>533</v>
      </c>
      <c r="C8" s="12" t="s">
        <v>218</v>
      </c>
      <c r="D8" s="13" t="s">
        <v>87</v>
      </c>
      <c r="E8" s="13" t="s">
        <v>114</v>
      </c>
    </row>
    <row r="9" customFormat="false" ht="17.25" hidden="false" customHeight="true" outlineLevel="0" collapsed="false">
      <c r="A9" s="15" t="s">
        <v>219</v>
      </c>
      <c r="B9" s="15" t="s">
        <v>534</v>
      </c>
      <c r="C9" s="15" t="s">
        <v>218</v>
      </c>
      <c r="D9" s="16" t="s">
        <v>87</v>
      </c>
      <c r="E9" s="16" t="s">
        <v>114</v>
      </c>
    </row>
    <row r="10" customFormat="false" ht="17.25" hidden="false" customHeight="true" outlineLevel="0" collapsed="false">
      <c r="A10" s="12" t="s">
        <v>219</v>
      </c>
      <c r="B10" s="12" t="s">
        <v>238</v>
      </c>
      <c r="C10" s="12" t="s">
        <v>235</v>
      </c>
      <c r="D10" s="13" t="s">
        <v>237</v>
      </c>
      <c r="E10" s="13" t="s">
        <v>114</v>
      </c>
    </row>
    <row r="11" customFormat="false" ht="17.25" hidden="false" customHeight="true" outlineLevel="0" collapsed="false">
      <c r="A11" s="15" t="s">
        <v>219</v>
      </c>
      <c r="B11" s="15" t="s">
        <v>535</v>
      </c>
      <c r="C11" s="15" t="s">
        <v>229</v>
      </c>
      <c r="D11" s="16" t="s">
        <v>87</v>
      </c>
      <c r="E11" s="16" t="s">
        <v>114</v>
      </c>
    </row>
    <row r="12" customFormat="false" ht="17.25" hidden="false" customHeight="true" outlineLevel="0" collapsed="false">
      <c r="A12" s="12" t="s">
        <v>219</v>
      </c>
      <c r="B12" s="12" t="s">
        <v>536</v>
      </c>
      <c r="C12" s="12" t="s">
        <v>229</v>
      </c>
      <c r="D12" s="13" t="s">
        <v>87</v>
      </c>
      <c r="E12" s="13" t="s">
        <v>114</v>
      </c>
    </row>
    <row r="13" customFormat="false" ht="17.25" hidden="false" customHeight="true" outlineLevel="0" collapsed="false">
      <c r="A13" s="15" t="s">
        <v>219</v>
      </c>
      <c r="B13" s="15" t="s">
        <v>537</v>
      </c>
      <c r="C13" s="15" t="s">
        <v>229</v>
      </c>
      <c r="D13" s="16" t="s">
        <v>87</v>
      </c>
      <c r="E13" s="16" t="s">
        <v>114</v>
      </c>
    </row>
    <row r="14" customFormat="false" ht="17.25" hidden="false" customHeight="true" outlineLevel="0" collapsed="false">
      <c r="A14" s="12" t="s">
        <v>165</v>
      </c>
      <c r="B14" s="12" t="s">
        <v>183</v>
      </c>
      <c r="C14" s="12" t="s">
        <v>181</v>
      </c>
      <c r="D14" s="13" t="s">
        <v>156</v>
      </c>
      <c r="E14" s="13" t="s">
        <v>114</v>
      </c>
    </row>
    <row r="15" customFormat="false" ht="17.25" hidden="false" customHeight="true" outlineLevel="0" collapsed="false">
      <c r="A15" s="15" t="s">
        <v>165</v>
      </c>
      <c r="B15" s="15" t="s">
        <v>538</v>
      </c>
      <c r="C15" s="15" t="s">
        <v>164</v>
      </c>
      <c r="D15" s="16" t="s">
        <v>156</v>
      </c>
      <c r="E15" s="16" t="s">
        <v>114</v>
      </c>
    </row>
    <row r="16" customFormat="false" ht="17.25" hidden="false" customHeight="true" outlineLevel="0" collapsed="false">
      <c r="A16" s="12" t="s">
        <v>165</v>
      </c>
      <c r="B16" s="12" t="s">
        <v>539</v>
      </c>
      <c r="C16" s="12" t="s">
        <v>164</v>
      </c>
      <c r="D16" s="13" t="s">
        <v>156</v>
      </c>
      <c r="E16" s="13" t="s">
        <v>114</v>
      </c>
    </row>
    <row r="17" customFormat="false" ht="17.25" hidden="false" customHeight="true" outlineLevel="0" collapsed="false">
      <c r="A17" s="15" t="s">
        <v>165</v>
      </c>
      <c r="B17" s="15" t="s">
        <v>173</v>
      </c>
      <c r="C17" s="15" t="s">
        <v>171</v>
      </c>
      <c r="D17" s="16" t="s">
        <v>156</v>
      </c>
      <c r="E17" s="16" t="s">
        <v>114</v>
      </c>
    </row>
    <row r="18" customFormat="false" ht="17.25" hidden="false" customHeight="true" outlineLevel="0" collapsed="false">
      <c r="A18" s="12" t="s">
        <v>193</v>
      </c>
      <c r="B18" s="12" t="s">
        <v>540</v>
      </c>
      <c r="C18" s="12" t="s">
        <v>192</v>
      </c>
      <c r="D18" s="13" t="s">
        <v>87</v>
      </c>
      <c r="E18" s="13" t="s">
        <v>114</v>
      </c>
    </row>
    <row r="19" customFormat="false" ht="17.25" hidden="false" customHeight="true" outlineLevel="0" collapsed="false">
      <c r="A19" s="15" t="s">
        <v>193</v>
      </c>
      <c r="B19" s="15" t="s">
        <v>541</v>
      </c>
      <c r="C19" s="15" t="s">
        <v>192</v>
      </c>
      <c r="D19" s="16" t="s">
        <v>87</v>
      </c>
      <c r="E19" s="16" t="s">
        <v>114</v>
      </c>
    </row>
    <row r="20" customFormat="false" ht="17.25" hidden="false" customHeight="true" outlineLevel="0" collapsed="false">
      <c r="A20" s="12" t="s">
        <v>193</v>
      </c>
      <c r="B20" s="12" t="s">
        <v>200</v>
      </c>
      <c r="C20" s="12" t="s">
        <v>198</v>
      </c>
      <c r="D20" s="13" t="s">
        <v>87</v>
      </c>
      <c r="E20" s="13" t="s">
        <v>114</v>
      </c>
    </row>
    <row r="21" customFormat="false" ht="17.25" hidden="false" customHeight="true" outlineLevel="0" collapsed="false">
      <c r="A21" s="15" t="s">
        <v>193</v>
      </c>
      <c r="B21" s="15" t="s">
        <v>205</v>
      </c>
      <c r="C21" s="15" t="s">
        <v>203</v>
      </c>
      <c r="D21" s="16" t="s">
        <v>87</v>
      </c>
      <c r="E21" s="16" t="s">
        <v>114</v>
      </c>
    </row>
    <row r="22" customFormat="false" ht="17.25" hidden="false" customHeight="true" outlineLevel="0" collapsed="false">
      <c r="A22" s="12" t="s">
        <v>193</v>
      </c>
      <c r="B22" s="12" t="s">
        <v>542</v>
      </c>
      <c r="C22" s="12" t="s">
        <v>192</v>
      </c>
      <c r="D22" s="13" t="s">
        <v>87</v>
      </c>
      <c r="E22" s="13" t="s">
        <v>114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F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32"/>
    <col collapsed="false" customWidth="true" hidden="false" outlineLevel="0" max="4" min="4" style="0" width="46"/>
    <col collapsed="false" customWidth="true" hidden="false" outlineLevel="0" max="5" min="5" style="0" width="13"/>
    <col collapsed="false" customWidth="true" hidden="false" outlineLevel="0" max="6" min="6" style="0" width="16"/>
  </cols>
  <sheetData>
    <row r="1" customFormat="false" ht="30" hidden="false" customHeight="true" outlineLevel="0" collapsed="false">
      <c r="A1" s="10" t="s">
        <v>543</v>
      </c>
      <c r="B1" s="10" t="s">
        <v>544</v>
      </c>
      <c r="C1" s="10" t="s">
        <v>545</v>
      </c>
      <c r="D1" s="10" t="s">
        <v>546</v>
      </c>
      <c r="E1" s="10" t="s">
        <v>547</v>
      </c>
      <c r="F1" s="10" t="s">
        <v>548</v>
      </c>
    </row>
    <row r="2" customFormat="false" ht="28.5" hidden="false" customHeight="true" outlineLevel="0" collapsed="false">
      <c r="A2" s="11" t="s">
        <v>549</v>
      </c>
      <c r="B2" s="12" t="s">
        <v>550</v>
      </c>
      <c r="C2" s="12" t="s">
        <v>551</v>
      </c>
      <c r="D2" s="12" t="s">
        <v>552</v>
      </c>
      <c r="E2" s="13" t="s">
        <v>364</v>
      </c>
      <c r="F2" s="12" t="s">
        <v>553</v>
      </c>
    </row>
    <row r="3" customFormat="false" ht="28.5" hidden="false" customHeight="true" outlineLevel="0" collapsed="false">
      <c r="A3" s="14" t="s">
        <v>554</v>
      </c>
      <c r="B3" s="15" t="s">
        <v>555</v>
      </c>
      <c r="C3" s="15" t="s">
        <v>556</v>
      </c>
      <c r="D3" s="15" t="s">
        <v>557</v>
      </c>
      <c r="E3" s="16" t="s">
        <v>364</v>
      </c>
      <c r="F3" s="15" t="s">
        <v>558</v>
      </c>
    </row>
    <row r="4" customFormat="false" ht="28.5" hidden="false" customHeight="true" outlineLevel="0" collapsed="false">
      <c r="A4" s="32" t="s">
        <v>559</v>
      </c>
      <c r="B4" s="33" t="s">
        <v>219</v>
      </c>
      <c r="C4" s="33" t="s">
        <v>560</v>
      </c>
      <c r="D4" s="33" t="s">
        <v>561</v>
      </c>
      <c r="E4" s="34" t="s">
        <v>562</v>
      </c>
      <c r="F4" s="33" t="s">
        <v>229</v>
      </c>
    </row>
    <row r="5" customFormat="false" ht="28.5" hidden="false" customHeight="true" outlineLevel="0" collapsed="false">
      <c r="A5" s="32" t="s">
        <v>248</v>
      </c>
      <c r="B5" s="33" t="s">
        <v>219</v>
      </c>
      <c r="C5" s="33" t="s">
        <v>563</v>
      </c>
      <c r="D5" s="33" t="s">
        <v>564</v>
      </c>
      <c r="E5" s="34" t="s">
        <v>562</v>
      </c>
      <c r="F5" s="33" t="s">
        <v>246</v>
      </c>
    </row>
    <row r="6" customFormat="false" ht="28.5" hidden="false" customHeight="true" outlineLevel="0" collapsed="false">
      <c r="A6" s="11" t="s">
        <v>565</v>
      </c>
      <c r="B6" s="12" t="s">
        <v>467</v>
      </c>
      <c r="C6" s="12" t="s">
        <v>566</v>
      </c>
      <c r="D6" s="12" t="s">
        <v>567</v>
      </c>
      <c r="E6" s="13" t="s">
        <v>568</v>
      </c>
      <c r="F6" s="12" t="s">
        <v>468</v>
      </c>
    </row>
    <row r="7" customFormat="false" ht="28.5" hidden="false" customHeight="true" outlineLevel="0" collapsed="false">
      <c r="A7" s="14" t="s">
        <v>569</v>
      </c>
      <c r="B7" s="15" t="s">
        <v>402</v>
      </c>
      <c r="C7" s="15" t="s">
        <v>570</v>
      </c>
      <c r="D7" s="15" t="s">
        <v>571</v>
      </c>
      <c r="E7" s="16" t="s">
        <v>568</v>
      </c>
      <c r="F7" s="15" t="s">
        <v>477</v>
      </c>
    </row>
    <row r="8" customFormat="false" ht="28.5" hidden="false" customHeight="true" outlineLevel="0" collapsed="false">
      <c r="A8" s="11" t="s">
        <v>572</v>
      </c>
      <c r="B8" s="12" t="s">
        <v>422</v>
      </c>
      <c r="C8" s="12" t="s">
        <v>573</v>
      </c>
      <c r="D8" s="12" t="s">
        <v>574</v>
      </c>
      <c r="E8" s="13" t="s">
        <v>568</v>
      </c>
      <c r="F8" s="12" t="s">
        <v>427</v>
      </c>
    </row>
    <row r="9" customFormat="false" ht="28.5" hidden="false" customHeight="true" outlineLevel="0" collapsed="false">
      <c r="A9" s="14" t="s">
        <v>575</v>
      </c>
      <c r="B9" s="15" t="s">
        <v>473</v>
      </c>
      <c r="C9" s="15" t="s">
        <v>576</v>
      </c>
      <c r="D9" s="15" t="s">
        <v>577</v>
      </c>
      <c r="E9" s="16" t="s">
        <v>568</v>
      </c>
      <c r="F9" s="15" t="s">
        <v>578</v>
      </c>
    </row>
    <row r="10" customFormat="false" ht="28.5" hidden="false" customHeight="true" outlineLevel="0" collapsed="false">
      <c r="A10" s="32" t="s">
        <v>579</v>
      </c>
      <c r="B10" s="33" t="s">
        <v>165</v>
      </c>
      <c r="C10" s="33" t="s">
        <v>580</v>
      </c>
      <c r="D10" s="33" t="s">
        <v>581</v>
      </c>
      <c r="E10" s="34" t="s">
        <v>562</v>
      </c>
      <c r="F10" s="33" t="s">
        <v>164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F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1"/>
    <col collapsed="false" customWidth="true" hidden="false" outlineLevel="0" max="4" min="4" style="0" width="46"/>
    <col collapsed="false" customWidth="true" hidden="false" outlineLevel="0" max="5" min="5" style="0" width="52"/>
    <col collapsed="false" customWidth="true" hidden="false" outlineLevel="0" max="6" min="6" style="0" width="22"/>
  </cols>
  <sheetData>
    <row r="1" customFormat="false" ht="30" hidden="false" customHeight="true" outlineLevel="0" collapsed="false">
      <c r="A1" s="10" t="s">
        <v>582</v>
      </c>
      <c r="B1" s="10" t="s">
        <v>583</v>
      </c>
      <c r="C1" s="10" t="s">
        <v>584</v>
      </c>
      <c r="D1" s="10" t="s">
        <v>585</v>
      </c>
      <c r="E1" s="10" t="s">
        <v>586</v>
      </c>
      <c r="F1" s="10" t="s">
        <v>587</v>
      </c>
    </row>
    <row r="2" customFormat="false" ht="40.5" hidden="false" customHeight="true" outlineLevel="0" collapsed="false">
      <c r="A2" s="35" t="n">
        <v>3</v>
      </c>
      <c r="B2" s="12" t="s">
        <v>588</v>
      </c>
      <c r="C2" s="18" t="s">
        <v>141</v>
      </c>
      <c r="D2" s="12" t="s">
        <v>589</v>
      </c>
      <c r="E2" s="12" t="s">
        <v>590</v>
      </c>
      <c r="F2" s="12" t="s">
        <v>591</v>
      </c>
    </row>
    <row r="3" customFormat="false" ht="28.5" hidden="false" customHeight="true" outlineLevel="0" collapsed="false">
      <c r="A3" s="36" t="n">
        <v>4</v>
      </c>
      <c r="B3" s="15" t="s">
        <v>592</v>
      </c>
      <c r="C3" s="18" t="s">
        <v>141</v>
      </c>
      <c r="D3" s="15" t="s">
        <v>593</v>
      </c>
      <c r="E3" s="15" t="s">
        <v>594</v>
      </c>
      <c r="F3" s="15" t="s">
        <v>595</v>
      </c>
    </row>
    <row r="4" customFormat="false" ht="40.5" hidden="false" customHeight="true" outlineLevel="0" collapsed="false">
      <c r="A4" s="35" t="n">
        <v>7</v>
      </c>
      <c r="B4" s="12" t="s">
        <v>596</v>
      </c>
      <c r="C4" s="19" t="s">
        <v>217</v>
      </c>
      <c r="D4" s="12" t="s">
        <v>597</v>
      </c>
      <c r="E4" s="12" t="s">
        <v>598</v>
      </c>
      <c r="F4" s="12" t="s">
        <v>599</v>
      </c>
    </row>
    <row r="5" customFormat="false" ht="40.5" hidden="false" customHeight="true" outlineLevel="0" collapsed="false">
      <c r="A5" s="36" t="n">
        <v>9</v>
      </c>
      <c r="B5" s="15" t="s">
        <v>600</v>
      </c>
      <c r="C5" s="18" t="s">
        <v>141</v>
      </c>
      <c r="D5" s="15" t="s">
        <v>601</v>
      </c>
      <c r="E5" s="15" t="s">
        <v>602</v>
      </c>
      <c r="F5" s="15" t="s">
        <v>176</v>
      </c>
    </row>
    <row r="6" customFormat="false" ht="40.5" hidden="false" customHeight="true" outlineLevel="0" collapsed="false">
      <c r="A6" s="35" t="n">
        <v>12</v>
      </c>
      <c r="B6" s="12" t="s">
        <v>603</v>
      </c>
      <c r="C6" s="18" t="s">
        <v>141</v>
      </c>
      <c r="D6" s="12" t="s">
        <v>604</v>
      </c>
      <c r="E6" s="12" t="s">
        <v>605</v>
      </c>
      <c r="F6" s="12" t="s">
        <v>606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N5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60"/>
    <col collapsed="false" customWidth="true" hidden="false" outlineLevel="0" max="14" min="6" style="0" width="18"/>
  </cols>
  <sheetData>
    <row r="1" customFormat="false" ht="25.5" hidden="false" customHeight="true" outlineLevel="0" collapsed="false">
      <c r="A1" s="10" t="s">
        <v>607</v>
      </c>
      <c r="B1" s="10" t="s">
        <v>608</v>
      </c>
      <c r="C1" s="10" t="s">
        <v>609</v>
      </c>
      <c r="D1" s="10" t="s">
        <v>610</v>
      </c>
      <c r="E1" s="10" t="s">
        <v>611</v>
      </c>
      <c r="F1" s="10" t="s">
        <v>612</v>
      </c>
      <c r="G1" s="10" t="s">
        <v>110</v>
      </c>
      <c r="H1" s="10" t="s">
        <v>613</v>
      </c>
      <c r="I1" s="10" t="s">
        <v>614</v>
      </c>
      <c r="J1" s="10" t="s">
        <v>615</v>
      </c>
      <c r="K1" s="10" t="s">
        <v>105</v>
      </c>
      <c r="L1" s="10" t="s">
        <v>616</v>
      </c>
      <c r="M1" s="10" t="s">
        <v>617</v>
      </c>
      <c r="N1" s="10" t="s">
        <v>618</v>
      </c>
    </row>
    <row r="2" customFormat="false" ht="12.75" hidden="false" customHeight="true" outlineLevel="0" collapsed="false">
      <c r="A2" s="37" t="n">
        <v>1</v>
      </c>
      <c r="B2" s="37" t="s">
        <v>76</v>
      </c>
      <c r="C2" s="37" t="s">
        <v>104</v>
      </c>
      <c r="D2" s="37" t="s">
        <v>619</v>
      </c>
      <c r="E2" s="38" t="s">
        <v>620</v>
      </c>
      <c r="F2" s="37" t="s">
        <v>621</v>
      </c>
      <c r="G2" s="37" t="s">
        <v>141</v>
      </c>
      <c r="H2" s="37"/>
      <c r="I2" s="37" t="s">
        <v>76</v>
      </c>
      <c r="J2" s="37"/>
      <c r="K2" s="37"/>
      <c r="L2" s="37" t="s">
        <v>383</v>
      </c>
      <c r="M2" s="37" t="s">
        <v>622</v>
      </c>
      <c r="N2" s="37"/>
    </row>
    <row r="3" customFormat="false" ht="12.75" hidden="false" customHeight="true" outlineLevel="0" collapsed="false">
      <c r="A3" s="37" t="n">
        <v>2</v>
      </c>
      <c r="B3" s="37" t="s">
        <v>80</v>
      </c>
      <c r="C3" s="37" t="s">
        <v>104</v>
      </c>
      <c r="D3" s="37" t="s">
        <v>623</v>
      </c>
      <c r="E3" s="38" t="s">
        <v>624</v>
      </c>
      <c r="F3" s="37" t="s">
        <v>621</v>
      </c>
      <c r="G3" s="37" t="s">
        <v>141</v>
      </c>
      <c r="H3" s="37"/>
      <c r="I3" s="37" t="s">
        <v>80</v>
      </c>
      <c r="J3" s="37"/>
      <c r="K3" s="37"/>
      <c r="L3" s="37" t="s">
        <v>383</v>
      </c>
      <c r="M3" s="37" t="s">
        <v>622</v>
      </c>
      <c r="N3" s="37"/>
    </row>
    <row r="4" customFormat="false" ht="12.75" hidden="false" customHeight="true" outlineLevel="0" collapsed="false">
      <c r="A4" s="37" t="n">
        <v>3</v>
      </c>
      <c r="B4" s="37" t="s">
        <v>84</v>
      </c>
      <c r="C4" s="37" t="s">
        <v>104</v>
      </c>
      <c r="D4" s="37" t="s">
        <v>625</v>
      </c>
      <c r="E4" s="38" t="s">
        <v>626</v>
      </c>
      <c r="F4" s="37" t="s">
        <v>621</v>
      </c>
      <c r="G4" s="37" t="s">
        <v>141</v>
      </c>
      <c r="H4" s="37"/>
      <c r="I4" s="37" t="s">
        <v>84</v>
      </c>
      <c r="J4" s="37"/>
      <c r="K4" s="37"/>
      <c r="L4" s="37" t="s">
        <v>383</v>
      </c>
      <c r="M4" s="37" t="s">
        <v>622</v>
      </c>
      <c r="N4" s="37"/>
    </row>
    <row r="5" customFormat="false" ht="12.75" hidden="false" customHeight="true" outlineLevel="0" collapsed="false">
      <c r="A5" s="37" t="n">
        <v>4</v>
      </c>
      <c r="B5" s="37" t="s">
        <v>88</v>
      </c>
      <c r="C5" s="37" t="s">
        <v>104</v>
      </c>
      <c r="D5" s="37" t="s">
        <v>627</v>
      </c>
      <c r="E5" s="38" t="s">
        <v>628</v>
      </c>
      <c r="F5" s="37" t="s">
        <v>621</v>
      </c>
      <c r="G5" s="37" t="s">
        <v>141</v>
      </c>
      <c r="H5" s="37"/>
      <c r="I5" s="37" t="s">
        <v>88</v>
      </c>
      <c r="J5" s="37"/>
      <c r="K5" s="37"/>
      <c r="L5" s="37" t="s">
        <v>383</v>
      </c>
      <c r="M5" s="37" t="s">
        <v>622</v>
      </c>
      <c r="N5" s="37"/>
    </row>
    <row r="6" customFormat="false" ht="12.75" hidden="false" customHeight="true" outlineLevel="0" collapsed="false">
      <c r="A6" s="37" t="n">
        <v>5</v>
      </c>
      <c r="B6" s="37" t="s">
        <v>92</v>
      </c>
      <c r="C6" s="37" t="s">
        <v>104</v>
      </c>
      <c r="D6" s="37" t="s">
        <v>629</v>
      </c>
      <c r="E6" s="38" t="s">
        <v>630</v>
      </c>
      <c r="F6" s="37" t="s">
        <v>621</v>
      </c>
      <c r="G6" s="37" t="s">
        <v>141</v>
      </c>
      <c r="H6" s="37"/>
      <c r="I6" s="37" t="s">
        <v>92</v>
      </c>
      <c r="J6" s="37"/>
      <c r="K6" s="37"/>
      <c r="L6" s="37" t="s">
        <v>383</v>
      </c>
      <c r="M6" s="37" t="s">
        <v>622</v>
      </c>
      <c r="N6" s="37"/>
    </row>
    <row r="7" customFormat="false" ht="12.75" hidden="false" customHeight="true" outlineLevel="0" collapsed="false">
      <c r="A7" s="37" t="n">
        <v>6</v>
      </c>
      <c r="B7" s="37" t="s">
        <v>96</v>
      </c>
      <c r="C7" s="37" t="s">
        <v>104</v>
      </c>
      <c r="D7" s="37" t="s">
        <v>631</v>
      </c>
      <c r="E7" s="38" t="s">
        <v>632</v>
      </c>
      <c r="F7" s="37" t="s">
        <v>621</v>
      </c>
      <c r="G7" s="37" t="s">
        <v>141</v>
      </c>
      <c r="H7" s="37"/>
      <c r="I7" s="37" t="s">
        <v>96</v>
      </c>
      <c r="J7" s="37"/>
      <c r="K7" s="37"/>
      <c r="L7" s="37" t="s">
        <v>383</v>
      </c>
      <c r="M7" s="37" t="s">
        <v>622</v>
      </c>
      <c r="N7" s="37"/>
    </row>
    <row r="8" customFormat="false" ht="12.75" hidden="false" customHeight="true" outlineLevel="0" collapsed="false">
      <c r="A8" s="37" t="n">
        <v>7</v>
      </c>
      <c r="B8" s="37" t="s">
        <v>113</v>
      </c>
      <c r="C8" s="37" t="s">
        <v>633</v>
      </c>
      <c r="D8" s="37" t="s">
        <v>634</v>
      </c>
      <c r="E8" s="38" t="s">
        <v>635</v>
      </c>
      <c r="F8" s="37" t="s">
        <v>77</v>
      </c>
      <c r="G8" s="37" t="s">
        <v>122</v>
      </c>
      <c r="H8" s="37" t="n">
        <v>5</v>
      </c>
      <c r="I8" s="37"/>
      <c r="J8" s="37" t="s">
        <v>76</v>
      </c>
      <c r="K8" s="37" t="s">
        <v>116</v>
      </c>
      <c r="L8" s="37" t="s">
        <v>383</v>
      </c>
      <c r="M8" s="37" t="s">
        <v>636</v>
      </c>
      <c r="N8" s="37"/>
    </row>
    <row r="9" customFormat="false" ht="12.75" hidden="false" customHeight="true" outlineLevel="0" collapsed="false">
      <c r="A9" s="37" t="n">
        <v>8</v>
      </c>
      <c r="B9" s="37" t="s">
        <v>125</v>
      </c>
      <c r="C9" s="37" t="s">
        <v>633</v>
      </c>
      <c r="D9" s="37" t="s">
        <v>637</v>
      </c>
      <c r="E9" s="38" t="s">
        <v>638</v>
      </c>
      <c r="F9" s="37" t="s">
        <v>77</v>
      </c>
      <c r="G9" s="37" t="s">
        <v>122</v>
      </c>
      <c r="H9" s="37" t="n">
        <v>8</v>
      </c>
      <c r="I9" s="37"/>
      <c r="J9" s="37" t="s">
        <v>76</v>
      </c>
      <c r="K9" s="37" t="s">
        <v>116</v>
      </c>
      <c r="L9" s="37" t="s">
        <v>383</v>
      </c>
      <c r="M9" s="37" t="s">
        <v>636</v>
      </c>
      <c r="N9" s="37" t="s">
        <v>639</v>
      </c>
    </row>
    <row r="10" customFormat="false" ht="12.75" hidden="false" customHeight="true" outlineLevel="0" collapsed="false">
      <c r="A10" s="37" t="n">
        <v>9</v>
      </c>
      <c r="B10" s="37" t="s">
        <v>131</v>
      </c>
      <c r="C10" s="37" t="s">
        <v>633</v>
      </c>
      <c r="D10" s="37" t="s">
        <v>640</v>
      </c>
      <c r="E10" s="38" t="s">
        <v>641</v>
      </c>
      <c r="F10" s="37" t="s">
        <v>77</v>
      </c>
      <c r="G10" s="37" t="s">
        <v>122</v>
      </c>
      <c r="H10" s="37" t="n">
        <v>8</v>
      </c>
      <c r="I10" s="37"/>
      <c r="J10" s="37" t="s">
        <v>76</v>
      </c>
      <c r="K10" s="37" t="s">
        <v>116</v>
      </c>
      <c r="L10" s="37" t="s">
        <v>383</v>
      </c>
      <c r="M10" s="37" t="s">
        <v>636</v>
      </c>
      <c r="N10" s="37" t="s">
        <v>642</v>
      </c>
    </row>
    <row r="11" customFormat="false" ht="12.75" hidden="false" customHeight="true" outlineLevel="0" collapsed="false">
      <c r="A11" s="37" t="n">
        <v>10</v>
      </c>
      <c r="B11" s="37" t="s">
        <v>136</v>
      </c>
      <c r="C11" s="37" t="s">
        <v>633</v>
      </c>
      <c r="D11" s="37" t="s">
        <v>643</v>
      </c>
      <c r="E11" s="38" t="s">
        <v>644</v>
      </c>
      <c r="F11" s="37" t="s">
        <v>77</v>
      </c>
      <c r="G11" s="37" t="s">
        <v>141</v>
      </c>
      <c r="H11" s="37" t="n">
        <v>5</v>
      </c>
      <c r="I11" s="37"/>
      <c r="J11" s="37" t="s">
        <v>76</v>
      </c>
      <c r="K11" s="37" t="s">
        <v>116</v>
      </c>
      <c r="L11" s="37" t="s">
        <v>383</v>
      </c>
      <c r="M11" s="37" t="s">
        <v>636</v>
      </c>
      <c r="N11" s="37" t="s">
        <v>645</v>
      </c>
    </row>
    <row r="12" customFormat="false" ht="12.75" hidden="false" customHeight="true" outlineLevel="0" collapsed="false">
      <c r="A12" s="37" t="n">
        <v>11</v>
      </c>
      <c r="B12" s="37" t="s">
        <v>142</v>
      </c>
      <c r="C12" s="37" t="s">
        <v>633</v>
      </c>
      <c r="D12" s="37" t="s">
        <v>646</v>
      </c>
      <c r="E12" s="38" t="s">
        <v>647</v>
      </c>
      <c r="F12" s="37" t="s">
        <v>77</v>
      </c>
      <c r="G12" s="37" t="s">
        <v>141</v>
      </c>
      <c r="H12" s="37" t="n">
        <v>5</v>
      </c>
      <c r="I12" s="37"/>
      <c r="J12" s="37" t="s">
        <v>76</v>
      </c>
      <c r="K12" s="37" t="s">
        <v>116</v>
      </c>
      <c r="L12" s="37" t="s">
        <v>383</v>
      </c>
      <c r="M12" s="37" t="s">
        <v>636</v>
      </c>
      <c r="N12" s="37" t="s">
        <v>645</v>
      </c>
    </row>
    <row r="13" customFormat="false" ht="12.75" hidden="false" customHeight="true" outlineLevel="0" collapsed="false">
      <c r="A13" s="37" t="n">
        <v>12</v>
      </c>
      <c r="B13" s="37" t="s">
        <v>148</v>
      </c>
      <c r="C13" s="37" t="s">
        <v>633</v>
      </c>
      <c r="D13" s="37" t="s">
        <v>648</v>
      </c>
      <c r="E13" s="38" t="s">
        <v>649</v>
      </c>
      <c r="F13" s="37" t="s">
        <v>77</v>
      </c>
      <c r="G13" s="37" t="s">
        <v>141</v>
      </c>
      <c r="H13" s="37" t="n">
        <v>8</v>
      </c>
      <c r="I13" s="37"/>
      <c r="J13" s="37" t="s">
        <v>76</v>
      </c>
      <c r="K13" s="37" t="s">
        <v>116</v>
      </c>
      <c r="L13" s="37" t="s">
        <v>383</v>
      </c>
      <c r="M13" s="37" t="s">
        <v>636</v>
      </c>
      <c r="N13" s="37" t="s">
        <v>645</v>
      </c>
    </row>
    <row r="14" customFormat="false" ht="12.75" hidden="false" customHeight="true" outlineLevel="0" collapsed="false">
      <c r="A14" s="37" t="n">
        <v>13</v>
      </c>
      <c r="B14" s="37" t="s">
        <v>154</v>
      </c>
      <c r="C14" s="37" t="s">
        <v>633</v>
      </c>
      <c r="D14" s="37" t="s">
        <v>650</v>
      </c>
      <c r="E14" s="38" t="s">
        <v>651</v>
      </c>
      <c r="F14" s="37" t="s">
        <v>77</v>
      </c>
      <c r="G14" s="37" t="s">
        <v>122</v>
      </c>
      <c r="H14" s="37" t="n">
        <v>8</v>
      </c>
      <c r="I14" s="37"/>
      <c r="J14" s="37" t="s">
        <v>76</v>
      </c>
      <c r="K14" s="37" t="s">
        <v>156</v>
      </c>
      <c r="L14" s="37" t="s">
        <v>383</v>
      </c>
      <c r="M14" s="37" t="s">
        <v>652</v>
      </c>
      <c r="N14" s="37" t="s">
        <v>653</v>
      </c>
    </row>
    <row r="15" customFormat="false" ht="12.75" hidden="false" customHeight="true" outlineLevel="0" collapsed="false">
      <c r="A15" s="37" t="n">
        <v>14</v>
      </c>
      <c r="B15" s="37" t="s">
        <v>160</v>
      </c>
      <c r="C15" s="37" t="s">
        <v>633</v>
      </c>
      <c r="D15" s="37" t="s">
        <v>654</v>
      </c>
      <c r="E15" s="38" t="s">
        <v>655</v>
      </c>
      <c r="F15" s="37" t="s">
        <v>77</v>
      </c>
      <c r="G15" s="37" t="s">
        <v>141</v>
      </c>
      <c r="H15" s="37" t="n">
        <v>5</v>
      </c>
      <c r="I15" s="37"/>
      <c r="J15" s="37" t="s">
        <v>76</v>
      </c>
      <c r="K15" s="37" t="s">
        <v>156</v>
      </c>
      <c r="L15" s="37" t="s">
        <v>383</v>
      </c>
      <c r="M15" s="37" t="s">
        <v>652</v>
      </c>
      <c r="N15" s="37" t="s">
        <v>656</v>
      </c>
    </row>
    <row r="16" customFormat="false" ht="12.75" hidden="false" customHeight="true" outlineLevel="0" collapsed="false">
      <c r="A16" s="37" t="n">
        <v>15</v>
      </c>
      <c r="B16" s="37" t="s">
        <v>164</v>
      </c>
      <c r="C16" s="37" t="s">
        <v>633</v>
      </c>
      <c r="D16" s="37" t="s">
        <v>657</v>
      </c>
      <c r="E16" s="38" t="s">
        <v>658</v>
      </c>
      <c r="F16" s="37" t="s">
        <v>165</v>
      </c>
      <c r="G16" s="37" t="s">
        <v>122</v>
      </c>
      <c r="H16" s="37" t="n">
        <v>8</v>
      </c>
      <c r="I16" s="37"/>
      <c r="J16" s="37" t="s">
        <v>80</v>
      </c>
      <c r="K16" s="37" t="s">
        <v>156</v>
      </c>
      <c r="L16" s="37" t="s">
        <v>383</v>
      </c>
      <c r="M16" s="37" t="s">
        <v>652</v>
      </c>
      <c r="N16" s="37" t="s">
        <v>645</v>
      </c>
    </row>
    <row r="17" customFormat="false" ht="12.75" hidden="false" customHeight="true" outlineLevel="0" collapsed="false">
      <c r="A17" s="37" t="n">
        <v>16</v>
      </c>
      <c r="B17" s="37" t="s">
        <v>171</v>
      </c>
      <c r="C17" s="37" t="s">
        <v>633</v>
      </c>
      <c r="D17" s="37" t="s">
        <v>659</v>
      </c>
      <c r="E17" s="38" t="s">
        <v>660</v>
      </c>
      <c r="F17" s="37" t="s">
        <v>165</v>
      </c>
      <c r="G17" s="37" t="s">
        <v>141</v>
      </c>
      <c r="H17" s="37" t="n">
        <v>5</v>
      </c>
      <c r="I17" s="37"/>
      <c r="J17" s="37" t="s">
        <v>80</v>
      </c>
      <c r="K17" s="37" t="s">
        <v>156</v>
      </c>
      <c r="L17" s="37" t="s">
        <v>383</v>
      </c>
      <c r="M17" s="37" t="s">
        <v>652</v>
      </c>
      <c r="N17" s="37" t="s">
        <v>661</v>
      </c>
    </row>
    <row r="18" customFormat="false" ht="12.75" hidden="false" customHeight="true" outlineLevel="0" collapsed="false">
      <c r="A18" s="37" t="n">
        <v>17</v>
      </c>
      <c r="B18" s="37" t="s">
        <v>176</v>
      </c>
      <c r="C18" s="37" t="s">
        <v>633</v>
      </c>
      <c r="D18" s="37" t="s">
        <v>662</v>
      </c>
      <c r="E18" s="38" t="s">
        <v>663</v>
      </c>
      <c r="F18" s="37" t="s">
        <v>165</v>
      </c>
      <c r="G18" s="37" t="s">
        <v>122</v>
      </c>
      <c r="H18" s="37" t="n">
        <v>8</v>
      </c>
      <c r="I18" s="37"/>
      <c r="J18" s="37" t="s">
        <v>80</v>
      </c>
      <c r="K18" s="37" t="s">
        <v>156</v>
      </c>
      <c r="L18" s="37" t="s">
        <v>383</v>
      </c>
      <c r="M18" s="37" t="s">
        <v>652</v>
      </c>
      <c r="N18" s="37" t="s">
        <v>664</v>
      </c>
    </row>
    <row r="19" customFormat="false" ht="12.75" hidden="false" customHeight="true" outlineLevel="0" collapsed="false">
      <c r="A19" s="37" t="n">
        <v>18</v>
      </c>
      <c r="B19" s="37" t="s">
        <v>181</v>
      </c>
      <c r="C19" s="37" t="s">
        <v>633</v>
      </c>
      <c r="D19" s="37" t="s">
        <v>665</v>
      </c>
      <c r="E19" s="38" t="s">
        <v>666</v>
      </c>
      <c r="F19" s="37" t="s">
        <v>165</v>
      </c>
      <c r="G19" s="37" t="s">
        <v>141</v>
      </c>
      <c r="H19" s="37" t="n">
        <v>5</v>
      </c>
      <c r="I19" s="37"/>
      <c r="J19" s="37" t="s">
        <v>80</v>
      </c>
      <c r="K19" s="37" t="s">
        <v>156</v>
      </c>
      <c r="L19" s="37" t="s">
        <v>383</v>
      </c>
      <c r="M19" s="37" t="s">
        <v>652</v>
      </c>
      <c r="N19" s="37" t="s">
        <v>661</v>
      </c>
    </row>
    <row r="20" customFormat="false" ht="12.75" hidden="false" customHeight="true" outlineLevel="0" collapsed="false">
      <c r="A20" s="37" t="n">
        <v>19</v>
      </c>
      <c r="B20" s="37" t="s">
        <v>187</v>
      </c>
      <c r="C20" s="37" t="s">
        <v>633</v>
      </c>
      <c r="D20" s="37" t="s">
        <v>667</v>
      </c>
      <c r="E20" s="38" t="s">
        <v>668</v>
      </c>
      <c r="F20" s="37" t="s">
        <v>165</v>
      </c>
      <c r="G20" s="37" t="s">
        <v>122</v>
      </c>
      <c r="H20" s="37" t="n">
        <v>5</v>
      </c>
      <c r="I20" s="37"/>
      <c r="J20" s="37" t="s">
        <v>80</v>
      </c>
      <c r="K20" s="37" t="s">
        <v>87</v>
      </c>
      <c r="L20" s="37" t="s">
        <v>383</v>
      </c>
      <c r="M20" s="37" t="s">
        <v>669</v>
      </c>
      <c r="N20" s="37" t="s">
        <v>670</v>
      </c>
    </row>
    <row r="21" customFormat="false" ht="12.75" hidden="false" customHeight="true" outlineLevel="0" collapsed="false">
      <c r="A21" s="37" t="n">
        <v>20</v>
      </c>
      <c r="B21" s="37" t="s">
        <v>192</v>
      </c>
      <c r="C21" s="37" t="s">
        <v>633</v>
      </c>
      <c r="D21" s="37" t="s">
        <v>671</v>
      </c>
      <c r="E21" s="38" t="s">
        <v>672</v>
      </c>
      <c r="F21" s="37" t="s">
        <v>193</v>
      </c>
      <c r="G21" s="37" t="s">
        <v>122</v>
      </c>
      <c r="H21" s="37" t="n">
        <v>8</v>
      </c>
      <c r="I21" s="37"/>
      <c r="J21" s="37" t="s">
        <v>84</v>
      </c>
      <c r="K21" s="37" t="s">
        <v>87</v>
      </c>
      <c r="L21" s="37" t="s">
        <v>383</v>
      </c>
      <c r="M21" s="37" t="s">
        <v>669</v>
      </c>
      <c r="N21" s="37" t="s">
        <v>673</v>
      </c>
    </row>
    <row r="22" customFormat="false" ht="12.75" hidden="false" customHeight="true" outlineLevel="0" collapsed="false">
      <c r="A22" s="37" t="n">
        <v>21</v>
      </c>
      <c r="B22" s="37" t="s">
        <v>198</v>
      </c>
      <c r="C22" s="37" t="s">
        <v>633</v>
      </c>
      <c r="D22" s="37" t="s">
        <v>674</v>
      </c>
      <c r="E22" s="38" t="s">
        <v>675</v>
      </c>
      <c r="F22" s="37" t="s">
        <v>193</v>
      </c>
      <c r="G22" s="37" t="s">
        <v>141</v>
      </c>
      <c r="H22" s="37" t="n">
        <v>5</v>
      </c>
      <c r="I22" s="37"/>
      <c r="J22" s="37" t="s">
        <v>84</v>
      </c>
      <c r="K22" s="37" t="s">
        <v>87</v>
      </c>
      <c r="L22" s="37" t="s">
        <v>383</v>
      </c>
      <c r="M22" s="37" t="s">
        <v>669</v>
      </c>
      <c r="N22" s="37" t="s">
        <v>676</v>
      </c>
    </row>
    <row r="23" customFormat="false" ht="12.75" hidden="false" customHeight="true" outlineLevel="0" collapsed="false">
      <c r="A23" s="37" t="n">
        <v>22</v>
      </c>
      <c r="B23" s="37" t="s">
        <v>203</v>
      </c>
      <c r="C23" s="37" t="s">
        <v>633</v>
      </c>
      <c r="D23" s="37" t="s">
        <v>677</v>
      </c>
      <c r="E23" s="38" t="s">
        <v>678</v>
      </c>
      <c r="F23" s="37" t="s">
        <v>193</v>
      </c>
      <c r="G23" s="37" t="s">
        <v>122</v>
      </c>
      <c r="H23" s="37" t="n">
        <v>8</v>
      </c>
      <c r="I23" s="37"/>
      <c r="J23" s="37" t="s">
        <v>84</v>
      </c>
      <c r="K23" s="37" t="s">
        <v>87</v>
      </c>
      <c r="L23" s="37" t="s">
        <v>383</v>
      </c>
      <c r="M23" s="37" t="s">
        <v>669</v>
      </c>
      <c r="N23" s="37" t="s">
        <v>679</v>
      </c>
    </row>
    <row r="24" customFormat="false" ht="12.75" hidden="false" customHeight="true" outlineLevel="0" collapsed="false">
      <c r="A24" s="37" t="n">
        <v>23</v>
      </c>
      <c r="B24" s="37" t="s">
        <v>209</v>
      </c>
      <c r="C24" s="37" t="s">
        <v>633</v>
      </c>
      <c r="D24" s="37" t="s">
        <v>680</v>
      </c>
      <c r="E24" s="38" t="s">
        <v>681</v>
      </c>
      <c r="F24" s="37" t="s">
        <v>193</v>
      </c>
      <c r="G24" s="37" t="s">
        <v>122</v>
      </c>
      <c r="H24" s="37" t="n">
        <v>5</v>
      </c>
      <c r="I24" s="37"/>
      <c r="J24" s="37" t="s">
        <v>84</v>
      </c>
      <c r="K24" s="37" t="s">
        <v>87</v>
      </c>
      <c r="L24" s="37" t="s">
        <v>383</v>
      </c>
      <c r="M24" s="37" t="s">
        <v>669</v>
      </c>
      <c r="N24" s="37" t="s">
        <v>682</v>
      </c>
    </row>
    <row r="25" customFormat="false" ht="12.75" hidden="false" customHeight="true" outlineLevel="0" collapsed="false">
      <c r="A25" s="37" t="n">
        <v>24</v>
      </c>
      <c r="B25" s="37" t="s">
        <v>213</v>
      </c>
      <c r="C25" s="37" t="s">
        <v>633</v>
      </c>
      <c r="D25" s="37" t="s">
        <v>683</v>
      </c>
      <c r="E25" s="38" t="s">
        <v>684</v>
      </c>
      <c r="F25" s="37" t="s">
        <v>193</v>
      </c>
      <c r="G25" s="37" t="s">
        <v>217</v>
      </c>
      <c r="H25" s="37" t="n">
        <v>3</v>
      </c>
      <c r="I25" s="37"/>
      <c r="J25" s="37" t="s">
        <v>84</v>
      </c>
      <c r="K25" s="37" t="s">
        <v>87</v>
      </c>
      <c r="L25" s="37" t="s">
        <v>383</v>
      </c>
      <c r="M25" s="37" t="s">
        <v>669</v>
      </c>
      <c r="N25" s="37" t="s">
        <v>682</v>
      </c>
    </row>
    <row r="26" customFormat="false" ht="12.75" hidden="false" customHeight="true" outlineLevel="0" collapsed="false">
      <c r="A26" s="37" t="n">
        <v>25</v>
      </c>
      <c r="B26" s="37" t="s">
        <v>218</v>
      </c>
      <c r="C26" s="37" t="s">
        <v>633</v>
      </c>
      <c r="D26" s="37" t="s">
        <v>685</v>
      </c>
      <c r="E26" s="38" t="s">
        <v>686</v>
      </c>
      <c r="F26" s="37" t="s">
        <v>219</v>
      </c>
      <c r="G26" s="37" t="s">
        <v>122</v>
      </c>
      <c r="H26" s="37" t="n">
        <v>5</v>
      </c>
      <c r="I26" s="37"/>
      <c r="J26" s="37" t="s">
        <v>88</v>
      </c>
      <c r="K26" s="37" t="s">
        <v>87</v>
      </c>
      <c r="L26" s="37" t="s">
        <v>383</v>
      </c>
      <c r="M26" s="37" t="s">
        <v>669</v>
      </c>
      <c r="N26" s="37" t="s">
        <v>656</v>
      </c>
    </row>
    <row r="27" customFormat="false" ht="12.75" hidden="false" customHeight="true" outlineLevel="0" collapsed="false">
      <c r="A27" s="37" t="n">
        <v>26</v>
      </c>
      <c r="B27" s="37" t="s">
        <v>224</v>
      </c>
      <c r="C27" s="37" t="s">
        <v>633</v>
      </c>
      <c r="D27" s="37" t="s">
        <v>687</v>
      </c>
      <c r="E27" s="38" t="s">
        <v>688</v>
      </c>
      <c r="F27" s="37" t="s">
        <v>219</v>
      </c>
      <c r="G27" s="37" t="s">
        <v>122</v>
      </c>
      <c r="H27" s="37" t="n">
        <v>5</v>
      </c>
      <c r="I27" s="37"/>
      <c r="J27" s="37" t="s">
        <v>88</v>
      </c>
      <c r="K27" s="37" t="s">
        <v>87</v>
      </c>
      <c r="L27" s="37" t="s">
        <v>383</v>
      </c>
      <c r="M27" s="37" t="s">
        <v>669</v>
      </c>
      <c r="N27" s="37" t="s">
        <v>689</v>
      </c>
    </row>
    <row r="28" customFormat="false" ht="12.75" hidden="false" customHeight="true" outlineLevel="0" collapsed="false">
      <c r="A28" s="37" t="n">
        <v>27</v>
      </c>
      <c r="B28" s="37" t="s">
        <v>229</v>
      </c>
      <c r="C28" s="37" t="s">
        <v>633</v>
      </c>
      <c r="D28" s="37" t="s">
        <v>690</v>
      </c>
      <c r="E28" s="38" t="s">
        <v>691</v>
      </c>
      <c r="F28" s="37" t="s">
        <v>219</v>
      </c>
      <c r="G28" s="37" t="s">
        <v>122</v>
      </c>
      <c r="H28" s="37" t="n">
        <v>8</v>
      </c>
      <c r="I28" s="37"/>
      <c r="J28" s="37" t="s">
        <v>88</v>
      </c>
      <c r="K28" s="37" t="s">
        <v>87</v>
      </c>
      <c r="L28" s="37" t="s">
        <v>383</v>
      </c>
      <c r="M28" s="37" t="s">
        <v>669</v>
      </c>
      <c r="N28" s="37" t="s">
        <v>692</v>
      </c>
    </row>
    <row r="29" customFormat="false" ht="12.75" hidden="false" customHeight="true" outlineLevel="0" collapsed="false">
      <c r="A29" s="37" t="n">
        <v>28</v>
      </c>
      <c r="B29" s="37" t="s">
        <v>235</v>
      </c>
      <c r="C29" s="37" t="s">
        <v>633</v>
      </c>
      <c r="D29" s="37" t="s">
        <v>693</v>
      </c>
      <c r="E29" s="38" t="s">
        <v>694</v>
      </c>
      <c r="F29" s="37" t="s">
        <v>219</v>
      </c>
      <c r="G29" s="37" t="s">
        <v>122</v>
      </c>
      <c r="H29" s="37" t="n">
        <v>8</v>
      </c>
      <c r="I29" s="37"/>
      <c r="J29" s="37" t="s">
        <v>88</v>
      </c>
      <c r="K29" s="37" t="s">
        <v>237</v>
      </c>
      <c r="L29" s="37" t="s">
        <v>383</v>
      </c>
      <c r="M29" s="37" t="s">
        <v>695</v>
      </c>
      <c r="N29" s="37" t="s">
        <v>696</v>
      </c>
    </row>
    <row r="30" customFormat="false" ht="12.75" hidden="false" customHeight="true" outlineLevel="0" collapsed="false">
      <c r="A30" s="37" t="n">
        <v>29</v>
      </c>
      <c r="B30" s="37" t="s">
        <v>242</v>
      </c>
      <c r="C30" s="37" t="s">
        <v>633</v>
      </c>
      <c r="D30" s="37" t="s">
        <v>697</v>
      </c>
      <c r="E30" s="38" t="s">
        <v>698</v>
      </c>
      <c r="F30" s="37" t="s">
        <v>219</v>
      </c>
      <c r="G30" s="37" t="s">
        <v>122</v>
      </c>
      <c r="H30" s="37" t="n">
        <v>5</v>
      </c>
      <c r="I30" s="37"/>
      <c r="J30" s="37" t="s">
        <v>88</v>
      </c>
      <c r="K30" s="37" t="s">
        <v>237</v>
      </c>
      <c r="L30" s="37" t="s">
        <v>383</v>
      </c>
      <c r="M30" s="37" t="s">
        <v>695</v>
      </c>
      <c r="N30" s="37" t="s">
        <v>699</v>
      </c>
    </row>
    <row r="31" customFormat="false" ht="12.75" hidden="false" customHeight="true" outlineLevel="0" collapsed="false">
      <c r="A31" s="37" t="n">
        <v>30</v>
      </c>
      <c r="B31" s="37" t="s">
        <v>246</v>
      </c>
      <c r="C31" s="37" t="s">
        <v>633</v>
      </c>
      <c r="D31" s="37" t="s">
        <v>700</v>
      </c>
      <c r="E31" s="38" t="s">
        <v>701</v>
      </c>
      <c r="F31" s="37" t="s">
        <v>219</v>
      </c>
      <c r="G31" s="37" t="s">
        <v>141</v>
      </c>
      <c r="H31" s="37" t="n">
        <v>5</v>
      </c>
      <c r="I31" s="37"/>
      <c r="J31" s="37" t="s">
        <v>88</v>
      </c>
      <c r="K31" s="37" t="s">
        <v>237</v>
      </c>
      <c r="L31" s="37" t="s">
        <v>383</v>
      </c>
      <c r="M31" s="37" t="s">
        <v>695</v>
      </c>
      <c r="N31" s="37" t="s">
        <v>702</v>
      </c>
    </row>
    <row r="32" customFormat="false" ht="12.75" hidden="false" customHeight="true" outlineLevel="0" collapsed="false">
      <c r="A32" s="37" t="n">
        <v>31</v>
      </c>
      <c r="B32" s="37" t="s">
        <v>251</v>
      </c>
      <c r="C32" s="37" t="s">
        <v>633</v>
      </c>
      <c r="D32" s="37" t="s">
        <v>703</v>
      </c>
      <c r="E32" s="38" t="s">
        <v>704</v>
      </c>
      <c r="F32" s="37" t="s">
        <v>219</v>
      </c>
      <c r="G32" s="37" t="s">
        <v>141</v>
      </c>
      <c r="H32" s="37" t="n">
        <v>5</v>
      </c>
      <c r="I32" s="37"/>
      <c r="J32" s="37" t="s">
        <v>88</v>
      </c>
      <c r="K32" s="37" t="s">
        <v>237</v>
      </c>
      <c r="L32" s="37" t="s">
        <v>383</v>
      </c>
      <c r="M32" s="37" t="s">
        <v>695</v>
      </c>
      <c r="N32" s="37" t="s">
        <v>699</v>
      </c>
    </row>
    <row r="33" customFormat="false" ht="12.75" hidden="false" customHeight="true" outlineLevel="0" collapsed="false">
      <c r="A33" s="37" t="n">
        <v>32</v>
      </c>
      <c r="B33" s="37" t="s">
        <v>255</v>
      </c>
      <c r="C33" s="37" t="s">
        <v>633</v>
      </c>
      <c r="D33" s="37" t="s">
        <v>705</v>
      </c>
      <c r="E33" s="38" t="s">
        <v>706</v>
      </c>
      <c r="F33" s="37" t="s">
        <v>219</v>
      </c>
      <c r="G33" s="37" t="s">
        <v>141</v>
      </c>
      <c r="H33" s="37" t="n">
        <v>5</v>
      </c>
      <c r="I33" s="37"/>
      <c r="J33" s="37" t="s">
        <v>88</v>
      </c>
      <c r="K33" s="37" t="s">
        <v>237</v>
      </c>
      <c r="L33" s="37" t="s">
        <v>383</v>
      </c>
      <c r="M33" s="37" t="s">
        <v>695</v>
      </c>
      <c r="N33" s="37" t="s">
        <v>699</v>
      </c>
    </row>
    <row r="34" customFormat="false" ht="12.75" hidden="false" customHeight="true" outlineLevel="0" collapsed="false">
      <c r="A34" s="37" t="n">
        <v>33</v>
      </c>
      <c r="B34" s="37" t="s">
        <v>259</v>
      </c>
      <c r="C34" s="37" t="s">
        <v>633</v>
      </c>
      <c r="D34" s="37" t="s">
        <v>707</v>
      </c>
      <c r="E34" s="38" t="s">
        <v>708</v>
      </c>
      <c r="F34" s="37" t="s">
        <v>261</v>
      </c>
      <c r="G34" s="37" t="s">
        <v>122</v>
      </c>
      <c r="H34" s="37" t="n">
        <v>5</v>
      </c>
      <c r="I34" s="37"/>
      <c r="J34" s="37" t="s">
        <v>92</v>
      </c>
      <c r="K34" s="37" t="s">
        <v>156</v>
      </c>
      <c r="L34" s="37" t="s">
        <v>383</v>
      </c>
      <c r="M34" s="37" t="s">
        <v>709</v>
      </c>
      <c r="N34" s="37" t="s">
        <v>656</v>
      </c>
    </row>
    <row r="35" customFormat="false" ht="12.75" hidden="false" customHeight="true" outlineLevel="0" collapsed="false">
      <c r="A35" s="37" t="n">
        <v>34</v>
      </c>
      <c r="B35" s="37" t="s">
        <v>266</v>
      </c>
      <c r="C35" s="37" t="s">
        <v>633</v>
      </c>
      <c r="D35" s="37" t="s">
        <v>710</v>
      </c>
      <c r="E35" s="38" t="s">
        <v>711</v>
      </c>
      <c r="F35" s="37" t="s">
        <v>261</v>
      </c>
      <c r="G35" s="37" t="s">
        <v>141</v>
      </c>
      <c r="H35" s="37" t="n">
        <v>5</v>
      </c>
      <c r="I35" s="37"/>
      <c r="J35" s="37" t="s">
        <v>92</v>
      </c>
      <c r="K35" s="37" t="s">
        <v>156</v>
      </c>
      <c r="L35" s="37" t="s">
        <v>383</v>
      </c>
      <c r="M35" s="37" t="s">
        <v>709</v>
      </c>
      <c r="N35" s="37" t="s">
        <v>712</v>
      </c>
    </row>
    <row r="36" customFormat="false" ht="12.75" hidden="false" customHeight="true" outlineLevel="0" collapsed="false">
      <c r="A36" s="37" t="n">
        <v>35</v>
      </c>
      <c r="B36" s="37" t="s">
        <v>270</v>
      </c>
      <c r="C36" s="37" t="s">
        <v>633</v>
      </c>
      <c r="D36" s="37" t="s">
        <v>713</v>
      </c>
      <c r="E36" s="38" t="s">
        <v>714</v>
      </c>
      <c r="F36" s="37" t="s">
        <v>261</v>
      </c>
      <c r="G36" s="37" t="s">
        <v>122</v>
      </c>
      <c r="H36" s="37" t="n">
        <v>3</v>
      </c>
      <c r="I36" s="37"/>
      <c r="J36" s="37" t="s">
        <v>92</v>
      </c>
      <c r="K36" s="37" t="s">
        <v>156</v>
      </c>
      <c r="L36" s="37" t="s">
        <v>383</v>
      </c>
      <c r="M36" s="37" t="s">
        <v>709</v>
      </c>
      <c r="N36" s="37" t="s">
        <v>712</v>
      </c>
    </row>
    <row r="37" customFormat="false" ht="12.75" hidden="false" customHeight="true" outlineLevel="0" collapsed="false">
      <c r="A37" s="37" t="n">
        <v>36</v>
      </c>
      <c r="B37" s="37" t="s">
        <v>274</v>
      </c>
      <c r="C37" s="37" t="s">
        <v>633</v>
      </c>
      <c r="D37" s="37" t="s">
        <v>715</v>
      </c>
      <c r="E37" s="38" t="s">
        <v>716</v>
      </c>
      <c r="F37" s="37" t="s">
        <v>261</v>
      </c>
      <c r="G37" s="37" t="s">
        <v>217</v>
      </c>
      <c r="H37" s="37" t="n">
        <v>3</v>
      </c>
      <c r="I37" s="37"/>
      <c r="J37" s="37" t="s">
        <v>92</v>
      </c>
      <c r="K37" s="37" t="s">
        <v>156</v>
      </c>
      <c r="L37" s="37" t="s">
        <v>383</v>
      </c>
      <c r="M37" s="37" t="s">
        <v>709</v>
      </c>
      <c r="N37" s="37" t="s">
        <v>712</v>
      </c>
    </row>
    <row r="38" customFormat="false" ht="12.75" hidden="false" customHeight="true" outlineLevel="0" collapsed="false">
      <c r="A38" s="37" t="n">
        <v>37</v>
      </c>
      <c r="B38" s="37" t="s">
        <v>278</v>
      </c>
      <c r="C38" s="37" t="s">
        <v>633</v>
      </c>
      <c r="D38" s="37" t="s">
        <v>717</v>
      </c>
      <c r="E38" s="38" t="s">
        <v>718</v>
      </c>
      <c r="F38" s="37" t="s">
        <v>261</v>
      </c>
      <c r="G38" s="37" t="s">
        <v>122</v>
      </c>
      <c r="H38" s="37" t="n">
        <v>5</v>
      </c>
      <c r="I38" s="37"/>
      <c r="J38" s="37" t="s">
        <v>92</v>
      </c>
      <c r="K38" s="37" t="s">
        <v>156</v>
      </c>
      <c r="L38" s="37" t="s">
        <v>383</v>
      </c>
      <c r="M38" s="37" t="s">
        <v>709</v>
      </c>
      <c r="N38" s="37" t="s">
        <v>719</v>
      </c>
    </row>
    <row r="39" customFormat="false" ht="12.75" hidden="false" customHeight="true" outlineLevel="0" collapsed="false">
      <c r="A39" s="37" t="n">
        <v>38</v>
      </c>
      <c r="B39" s="37" t="s">
        <v>283</v>
      </c>
      <c r="C39" s="37" t="s">
        <v>633</v>
      </c>
      <c r="D39" s="37" t="s">
        <v>720</v>
      </c>
      <c r="E39" s="38" t="s">
        <v>721</v>
      </c>
      <c r="F39" s="37" t="s">
        <v>261</v>
      </c>
      <c r="G39" s="37" t="s">
        <v>122</v>
      </c>
      <c r="H39" s="37" t="n">
        <v>5</v>
      </c>
      <c r="I39" s="37"/>
      <c r="J39" s="37" t="s">
        <v>92</v>
      </c>
      <c r="K39" s="37" t="s">
        <v>156</v>
      </c>
      <c r="L39" s="37" t="s">
        <v>383</v>
      </c>
      <c r="M39" s="37" t="s">
        <v>709</v>
      </c>
      <c r="N39" s="37" t="s">
        <v>722</v>
      </c>
    </row>
    <row r="40" customFormat="false" ht="12.75" hidden="false" customHeight="true" outlineLevel="0" collapsed="false">
      <c r="A40" s="37" t="n">
        <v>39</v>
      </c>
      <c r="B40" s="37" t="s">
        <v>288</v>
      </c>
      <c r="C40" s="37" t="s">
        <v>633</v>
      </c>
      <c r="D40" s="37" t="s">
        <v>723</v>
      </c>
      <c r="E40" s="38" t="s">
        <v>724</v>
      </c>
      <c r="F40" s="37" t="s">
        <v>261</v>
      </c>
      <c r="G40" s="37" t="s">
        <v>141</v>
      </c>
      <c r="H40" s="37" t="n">
        <v>5</v>
      </c>
      <c r="I40" s="37"/>
      <c r="J40" s="37" t="s">
        <v>92</v>
      </c>
      <c r="K40" s="37" t="s">
        <v>156</v>
      </c>
      <c r="L40" s="37" t="s">
        <v>383</v>
      </c>
      <c r="M40" s="37" t="s">
        <v>709</v>
      </c>
      <c r="N40" s="37" t="s">
        <v>725</v>
      </c>
    </row>
    <row r="41" customFormat="false" ht="12.75" hidden="false" customHeight="true" outlineLevel="0" collapsed="false">
      <c r="A41" s="37" t="n">
        <v>40</v>
      </c>
      <c r="B41" s="37" t="s">
        <v>292</v>
      </c>
      <c r="C41" s="37" t="s">
        <v>633</v>
      </c>
      <c r="D41" s="37" t="s">
        <v>726</v>
      </c>
      <c r="E41" s="38" t="s">
        <v>727</v>
      </c>
      <c r="F41" s="37" t="s">
        <v>261</v>
      </c>
      <c r="G41" s="37" t="s">
        <v>141</v>
      </c>
      <c r="H41" s="37" t="n">
        <v>5</v>
      </c>
      <c r="I41" s="37"/>
      <c r="J41" s="37" t="s">
        <v>92</v>
      </c>
      <c r="K41" s="37" t="s">
        <v>87</v>
      </c>
      <c r="L41" s="37" t="s">
        <v>383</v>
      </c>
      <c r="M41" s="37" t="s">
        <v>728</v>
      </c>
      <c r="N41" s="37" t="s">
        <v>682</v>
      </c>
    </row>
    <row r="42" customFormat="false" ht="12.75" hidden="false" customHeight="true" outlineLevel="0" collapsed="false">
      <c r="A42" s="37" t="n">
        <v>41</v>
      </c>
      <c r="B42" s="37" t="s">
        <v>296</v>
      </c>
      <c r="C42" s="37" t="s">
        <v>633</v>
      </c>
      <c r="D42" s="37" t="s">
        <v>729</v>
      </c>
      <c r="E42" s="38" t="s">
        <v>730</v>
      </c>
      <c r="F42" s="37" t="s">
        <v>261</v>
      </c>
      <c r="G42" s="37" t="s">
        <v>217</v>
      </c>
      <c r="H42" s="37" t="n">
        <v>3</v>
      </c>
      <c r="I42" s="37"/>
      <c r="J42" s="37" t="s">
        <v>92</v>
      </c>
      <c r="K42" s="37" t="s">
        <v>87</v>
      </c>
      <c r="L42" s="37" t="s">
        <v>383</v>
      </c>
      <c r="M42" s="37" t="s">
        <v>728</v>
      </c>
      <c r="N42" s="37" t="s">
        <v>639</v>
      </c>
    </row>
    <row r="43" customFormat="false" ht="12.75" hidden="false" customHeight="true" outlineLevel="0" collapsed="false">
      <c r="A43" s="37" t="n">
        <v>42</v>
      </c>
      <c r="B43" s="37" t="s">
        <v>300</v>
      </c>
      <c r="C43" s="37" t="s">
        <v>633</v>
      </c>
      <c r="D43" s="37" t="s">
        <v>731</v>
      </c>
      <c r="E43" s="38" t="s">
        <v>732</v>
      </c>
      <c r="F43" s="37" t="s">
        <v>261</v>
      </c>
      <c r="G43" s="37" t="s">
        <v>122</v>
      </c>
      <c r="H43" s="37" t="n">
        <v>8</v>
      </c>
      <c r="I43" s="37"/>
      <c r="J43" s="37" t="s">
        <v>92</v>
      </c>
      <c r="K43" s="37" t="s">
        <v>87</v>
      </c>
      <c r="L43" s="37" t="s">
        <v>383</v>
      </c>
      <c r="M43" s="37" t="s">
        <v>728</v>
      </c>
      <c r="N43" s="37" t="s">
        <v>692</v>
      </c>
    </row>
    <row r="44" customFormat="false" ht="12.75" hidden="false" customHeight="true" outlineLevel="0" collapsed="false">
      <c r="A44" s="37" t="n">
        <v>43</v>
      </c>
      <c r="B44" s="37" t="s">
        <v>304</v>
      </c>
      <c r="C44" s="37" t="s">
        <v>633</v>
      </c>
      <c r="D44" s="37" t="s">
        <v>733</v>
      </c>
      <c r="E44" s="38" t="s">
        <v>734</v>
      </c>
      <c r="F44" s="37" t="s">
        <v>261</v>
      </c>
      <c r="G44" s="37" t="s">
        <v>122</v>
      </c>
      <c r="H44" s="37" t="n">
        <v>5</v>
      </c>
      <c r="I44" s="37"/>
      <c r="J44" s="37" t="s">
        <v>92</v>
      </c>
      <c r="K44" s="37" t="s">
        <v>87</v>
      </c>
      <c r="L44" s="37" t="s">
        <v>383</v>
      </c>
      <c r="M44" s="37" t="s">
        <v>728</v>
      </c>
      <c r="N44" s="37" t="s">
        <v>735</v>
      </c>
    </row>
    <row r="45" customFormat="false" ht="12.75" hidden="false" customHeight="true" outlineLevel="0" collapsed="false">
      <c r="A45" s="37" t="n">
        <v>44</v>
      </c>
      <c r="B45" s="37" t="s">
        <v>309</v>
      </c>
      <c r="C45" s="37" t="s">
        <v>633</v>
      </c>
      <c r="D45" s="37" t="s">
        <v>736</v>
      </c>
      <c r="E45" s="38" t="s">
        <v>737</v>
      </c>
      <c r="F45" s="37" t="s">
        <v>261</v>
      </c>
      <c r="G45" s="37" t="s">
        <v>141</v>
      </c>
      <c r="H45" s="37" t="n">
        <v>5</v>
      </c>
      <c r="I45" s="37"/>
      <c r="J45" s="37" t="s">
        <v>92</v>
      </c>
      <c r="K45" s="37" t="s">
        <v>237</v>
      </c>
      <c r="L45" s="37" t="s">
        <v>383</v>
      </c>
      <c r="M45" s="37" t="s">
        <v>738</v>
      </c>
      <c r="N45" s="37" t="s">
        <v>739</v>
      </c>
    </row>
    <row r="46" customFormat="false" ht="12.75" hidden="false" customHeight="true" outlineLevel="0" collapsed="false">
      <c r="A46" s="37" t="n">
        <v>45</v>
      </c>
      <c r="B46" s="37" t="s">
        <v>313</v>
      </c>
      <c r="C46" s="37" t="s">
        <v>633</v>
      </c>
      <c r="D46" s="37" t="s">
        <v>740</v>
      </c>
      <c r="E46" s="38" t="s">
        <v>741</v>
      </c>
      <c r="F46" s="37" t="s">
        <v>314</v>
      </c>
      <c r="G46" s="37" t="s">
        <v>122</v>
      </c>
      <c r="H46" s="37" t="n">
        <v>8</v>
      </c>
      <c r="I46" s="37"/>
      <c r="J46" s="37" t="s">
        <v>96</v>
      </c>
      <c r="K46" s="37" t="s">
        <v>237</v>
      </c>
      <c r="L46" s="37" t="s">
        <v>383</v>
      </c>
      <c r="M46" s="37" t="s">
        <v>738</v>
      </c>
      <c r="N46" s="37" t="s">
        <v>702</v>
      </c>
    </row>
    <row r="47" customFormat="false" ht="12.75" hidden="false" customHeight="true" outlineLevel="0" collapsed="false">
      <c r="A47" s="37" t="n">
        <v>46</v>
      </c>
      <c r="B47" s="37" t="s">
        <v>319</v>
      </c>
      <c r="C47" s="37" t="s">
        <v>633</v>
      </c>
      <c r="D47" s="37" t="s">
        <v>742</v>
      </c>
      <c r="E47" s="38" t="s">
        <v>743</v>
      </c>
      <c r="F47" s="37" t="s">
        <v>314</v>
      </c>
      <c r="G47" s="37" t="s">
        <v>122</v>
      </c>
      <c r="H47" s="37" t="n">
        <v>8</v>
      </c>
      <c r="I47" s="37"/>
      <c r="J47" s="37" t="s">
        <v>96</v>
      </c>
      <c r="K47" s="37" t="s">
        <v>116</v>
      </c>
      <c r="L47" s="37" t="s">
        <v>383</v>
      </c>
      <c r="M47" s="37" t="s">
        <v>744</v>
      </c>
      <c r="N47" s="37" t="s">
        <v>642</v>
      </c>
    </row>
    <row r="48" customFormat="false" ht="12.75" hidden="false" customHeight="true" outlineLevel="0" collapsed="false">
      <c r="A48" s="37" t="n">
        <v>47</v>
      </c>
      <c r="B48" s="37" t="s">
        <v>323</v>
      </c>
      <c r="C48" s="37" t="s">
        <v>633</v>
      </c>
      <c r="D48" s="37" t="s">
        <v>745</v>
      </c>
      <c r="E48" s="38" t="s">
        <v>746</v>
      </c>
      <c r="F48" s="37" t="s">
        <v>314</v>
      </c>
      <c r="G48" s="37" t="s">
        <v>122</v>
      </c>
      <c r="H48" s="37" t="n">
        <v>8</v>
      </c>
      <c r="I48" s="37"/>
      <c r="J48" s="37" t="s">
        <v>96</v>
      </c>
      <c r="K48" s="37" t="s">
        <v>116</v>
      </c>
      <c r="L48" s="37" t="s">
        <v>383</v>
      </c>
      <c r="M48" s="37" t="s">
        <v>744</v>
      </c>
      <c r="N48" s="37" t="s">
        <v>645</v>
      </c>
    </row>
    <row r="49" customFormat="false" ht="12.75" hidden="false" customHeight="true" outlineLevel="0" collapsed="false">
      <c r="A49" s="37" t="n">
        <v>48</v>
      </c>
      <c r="B49" s="37" t="s">
        <v>327</v>
      </c>
      <c r="C49" s="37" t="s">
        <v>633</v>
      </c>
      <c r="D49" s="37" t="s">
        <v>747</v>
      </c>
      <c r="E49" s="38" t="s">
        <v>748</v>
      </c>
      <c r="F49" s="37" t="s">
        <v>314</v>
      </c>
      <c r="G49" s="37" t="s">
        <v>141</v>
      </c>
      <c r="H49" s="37" t="n">
        <v>5</v>
      </c>
      <c r="I49" s="37"/>
      <c r="J49" s="37" t="s">
        <v>96</v>
      </c>
      <c r="K49" s="37" t="s">
        <v>116</v>
      </c>
      <c r="L49" s="37" t="s">
        <v>383</v>
      </c>
      <c r="M49" s="37" t="s">
        <v>744</v>
      </c>
      <c r="N49" s="37" t="s">
        <v>749</v>
      </c>
    </row>
    <row r="50" customFormat="false" ht="12.75" hidden="false" customHeight="true" outlineLevel="0" collapsed="false">
      <c r="A50" s="37" t="n">
        <v>49</v>
      </c>
      <c r="B50" s="37" t="s">
        <v>331</v>
      </c>
      <c r="C50" s="37" t="s">
        <v>633</v>
      </c>
      <c r="D50" s="37" t="s">
        <v>750</v>
      </c>
      <c r="E50" s="38" t="s">
        <v>751</v>
      </c>
      <c r="F50" s="37" t="s">
        <v>314</v>
      </c>
      <c r="G50" s="37" t="s">
        <v>122</v>
      </c>
      <c r="H50" s="37" t="n">
        <v>8</v>
      </c>
      <c r="I50" s="37"/>
      <c r="J50" s="37" t="s">
        <v>96</v>
      </c>
      <c r="K50" s="37" t="s">
        <v>156</v>
      </c>
      <c r="L50" s="37" t="s">
        <v>383</v>
      </c>
      <c r="M50" s="37" t="s">
        <v>709</v>
      </c>
      <c r="N50" s="37" t="s">
        <v>664</v>
      </c>
    </row>
    <row r="51" customFormat="false" ht="12.75" hidden="false" customHeight="true" outlineLevel="0" collapsed="false">
      <c r="A51" s="37" t="n">
        <v>50</v>
      </c>
      <c r="B51" s="37" t="s">
        <v>335</v>
      </c>
      <c r="C51" s="37" t="s">
        <v>633</v>
      </c>
      <c r="D51" s="37" t="s">
        <v>752</v>
      </c>
      <c r="E51" s="38" t="s">
        <v>753</v>
      </c>
      <c r="F51" s="37" t="s">
        <v>314</v>
      </c>
      <c r="G51" s="37" t="s">
        <v>122</v>
      </c>
      <c r="H51" s="37" t="n">
        <v>8</v>
      </c>
      <c r="I51" s="37"/>
      <c r="J51" s="37" t="s">
        <v>96</v>
      </c>
      <c r="K51" s="37" t="s">
        <v>87</v>
      </c>
      <c r="L51" s="37" t="s">
        <v>383</v>
      </c>
      <c r="M51" s="37" t="s">
        <v>728</v>
      </c>
      <c r="N51" s="37" t="s">
        <v>754</v>
      </c>
    </row>
    <row r="52" customFormat="false" ht="12.75" hidden="false" customHeight="true" outlineLevel="0" collapsed="false">
      <c r="A52" s="37" t="n">
        <v>51</v>
      </c>
      <c r="B52" s="37" t="s">
        <v>340</v>
      </c>
      <c r="C52" s="37" t="s">
        <v>633</v>
      </c>
      <c r="D52" s="37" t="s">
        <v>755</v>
      </c>
      <c r="E52" s="38" t="s">
        <v>756</v>
      </c>
      <c r="F52" s="37" t="s">
        <v>314</v>
      </c>
      <c r="G52" s="37" t="s">
        <v>122</v>
      </c>
      <c r="H52" s="37" t="n">
        <v>8</v>
      </c>
      <c r="I52" s="37"/>
      <c r="J52" s="37" t="s">
        <v>96</v>
      </c>
      <c r="K52" s="37" t="s">
        <v>237</v>
      </c>
      <c r="L52" s="37" t="s">
        <v>383</v>
      </c>
      <c r="M52" s="37" t="s">
        <v>738</v>
      </c>
      <c r="N52" s="37" t="s">
        <v>757</v>
      </c>
    </row>
    <row r="53" customFormat="false" ht="12.75" hidden="false" customHeight="true" outlineLevel="0" collapsed="false">
      <c r="A53" s="37" t="n">
        <v>52</v>
      </c>
      <c r="B53" s="37" t="s">
        <v>345</v>
      </c>
      <c r="C53" s="37" t="s">
        <v>633</v>
      </c>
      <c r="D53" s="37" t="s">
        <v>758</v>
      </c>
      <c r="E53" s="38" t="s">
        <v>759</v>
      </c>
      <c r="F53" s="37" t="s">
        <v>314</v>
      </c>
      <c r="G53" s="37" t="s">
        <v>141</v>
      </c>
      <c r="H53" s="37" t="n">
        <v>5</v>
      </c>
      <c r="I53" s="37"/>
      <c r="J53" s="37" t="s">
        <v>96</v>
      </c>
      <c r="K53" s="37" t="s">
        <v>237</v>
      </c>
      <c r="L53" s="37" t="s">
        <v>383</v>
      </c>
      <c r="M53" s="37" t="s">
        <v>738</v>
      </c>
      <c r="N53" s="37" t="s">
        <v>760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2026-09-04T23:58:17Z</dcterms:created>
  <dc:creator>openpyxl</dc:creator>
  <dc:description/>
  <dc:language>en-US</dc:language>
  <cp:lastModifiedBy/>
  <dcterms:modified xsi:type="dcterms:W3CDTF">2026-09-04T23:58:17Z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