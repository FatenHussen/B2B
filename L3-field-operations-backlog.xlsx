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Epics" sheetId="2" state="visible" r:id="rId4"/>
    <sheet name="Backlog" sheetId="3" state="visible" r:id="rId5"/>
    <sheet name="Roadmap" sheetId="4" state="visible" r:id="rId6"/>
    <sheet name="Dependencies" sheetId="5" state="visible" r:id="rId7"/>
    <sheet name="Business Rules" sheetId="6" state="visible" r:id="rId8"/>
    <sheet name="Acceptance Criteria" sheetId="7" state="visible" r:id="rId9"/>
    <sheet name="Data Model" sheetId="8" state="visible" r:id="rId10"/>
    <sheet name="Events" sheetId="9" state="visible" r:id="rId11"/>
    <sheet name="Risks" sheetId="10" state="visible" r:id="rId12"/>
    <sheet name="Jira Import" sheetId="11" state="visible" r:id="rId13"/>
  </sheets>
  <definedNames>
    <definedName function="false" hidden="false" localSheetId="6" name="_xlnm.Print_Titles" vbProcedure="false">'Acceptance Criteria'!$1:$1</definedName>
    <definedName function="false" hidden="false" localSheetId="2" name="_xlnm.Print_Titles" vbProcedure="false">Backlog!$1:$1</definedName>
    <definedName function="false" hidden="true" localSheetId="2" name="_xlnm._FilterDatabase" vbProcedure="false">Backlog!$A$1:$O$63</definedName>
    <definedName function="false" hidden="false" localSheetId="5" name="_xlnm.Print_Titles" vbProcedure="false">'Business Rules'!$1:$1</definedName>
    <definedName function="false" hidden="false" localSheetId="7" name="_xlnm.Print_Titles" vbProcedure="false">'Data Model'!$1:$1</definedName>
    <definedName function="false" hidden="false" localSheetId="4" name="_xlnm.Print_Titles" vbProcedure="false">Dependencies!$1:$1</definedName>
    <definedName function="false" hidden="true" localSheetId="4" name="_xlnm._FilterDatabase" vbProcedure="false">Dependencies!$A$1:$H$80</definedName>
    <definedName function="false" hidden="false" localSheetId="1" name="_xlnm.Print_Titles" vbProcedure="false">Epics!$1:$1</definedName>
    <definedName function="false" hidden="false" localSheetId="8" name="_xlnm.Print_Titles" vbProcedure="false">Events!$1:$1</definedName>
    <definedName function="false" hidden="false" localSheetId="10" name="_xlnm.Print_Titles" vbProcedure="false">'Jira Import'!$1:$1</definedName>
    <definedName function="false" hidden="false" localSheetId="9" name="_xlnm.Print_Titles" vbProcedure="false">Risks!$1:$1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<sst xmlns="http://schemas.openxmlformats.org/spreadsheetml/2006/main" count="2934" uniqueCount="917">
  <si>
    <t xml:space="preserve">Layer 3 — field operations</t>
  </si>
  <si>
    <t xml:space="preserve">Sprints 9 to 13 in DOC-02. Inventory, warehouse fulfilment, rep delivery, returns, finance and offline sync, plus the rep app, the warehouse console and the retailer receipt path.</t>
  </si>
  <si>
    <t xml:space="preserve">This layer in one line</t>
  </si>
  <si>
    <t xml:space="preserve">Deliverable</t>
  </si>
  <si>
    <t xml:space="preserve">Goods travel from the shelf to the shop floor and the cash comes back reconciled to the last unit.</t>
  </si>
  <si>
    <t xml:space="preserve">Sprints</t>
  </si>
  <si>
    <t xml:space="preserve">SP-09, SP-10, SP-11, SP-12, SP-13  (DOC-02 §23)</t>
  </si>
  <si>
    <t xml:space="preserve">Depends on</t>
  </si>
  <si>
    <t xml:space="preserve">Layer 2 (L2-commercial-core-backlog.xlsx) — catalog, pricing, promotion and order submission.</t>
  </si>
  <si>
    <t xml:space="preserve">Followed by</t>
  </si>
  <si>
    <t xml:space="preserve">Layer 4 (L4-growth-and-launch-backlog.xlsx) — content, notifications, loyalty, reporting and the pilot.</t>
  </si>
  <si>
    <t xml:space="preserve">Read this first</t>
  </si>
  <si>
    <t xml:space="preserve">This is the largest and the most dangerous layer. It is where money, stock and offline behaviour meet, and the only layer where a defect produces a discrepancy in a figure rather than an error on a screen. The offline engine is not deferrable: DOC-06 §8 places it in phase one because a rep who loses a round will not open the app again.</t>
  </si>
  <si>
    <t xml:space="preserve">Contents</t>
  </si>
  <si>
    <t xml:space="preserve">Epics</t>
  </si>
  <si>
    <t xml:space="preserve">The epics of this layer with their volume and sprints.</t>
  </si>
  <si>
    <t xml:space="preserve">Backlog</t>
  </si>
  <si>
    <t xml:space="preserve">Every issue in this layer, backend and frontend, with full requirements and acceptance criteria readable in place.</t>
  </si>
  <si>
    <t xml:space="preserve">Roadmap</t>
  </si>
  <si>
    <t xml:space="preserve">Points by sprint and side, and by unit. All figures are live formulas over the Backlog sheet.</t>
  </si>
  <si>
    <t xml:space="preserve">Dependencies</t>
  </si>
  <si>
    <t xml:space="preserve">One row per blocking link, including links reaching back into earlier layers.</t>
  </si>
  <si>
    <t xml:space="preserve">Business Rules</t>
  </si>
  <si>
    <t xml:space="preserve">BR-01…BR-20 and REQ-IN-01…08 with the enforcing issue. Rules delivered in this layer are highlighted.</t>
  </si>
  <si>
    <t xml:space="preserve">Acceptance Criteria</t>
  </si>
  <si>
    <t xml:space="preserve">AC-01…AC-10 from DOC-06 §9.1 with the issues that satisfy each, flagged for this layer.</t>
  </si>
  <si>
    <t xml:space="preserve">Data Model</t>
  </si>
  <si>
    <t xml:space="preserve">The tables this layer creates.</t>
  </si>
  <si>
    <t xml:space="preserve">Events</t>
  </si>
  <si>
    <t xml:space="preserve">Inter-module events, with the ones this layer delivers highlighted.</t>
  </si>
  <si>
    <t xml:space="preserve">Risks</t>
  </si>
  <si>
    <t xml:space="preserve">The risks that bite in this layer, with the mitigating issue.</t>
  </si>
  <si>
    <t xml:space="preserve">Jira Import</t>
  </si>
  <si>
    <t xml:space="preserve">Flat machine-readable sheet. Save this tab alone as CSV UTF-8 and import.</t>
  </si>
  <si>
    <t xml:space="preserve">Contract status — read before importing</t>
  </si>
  <si>
    <t xml:space="preserve">The gap</t>
  </si>
  <si>
    <t xml:space="preserve">Layer 1 issues carried real EP-IDs because the five frontend briefs named them. The API catalog itself was never provided, so no issue in this workbook carries an endpoint identifier.</t>
  </si>
  <si>
    <t xml:space="preserve">What this means</t>
  </si>
  <si>
    <t xml:space="preserve">Every issue states behaviour, requirements and acceptance criteria, all traceable to a source document. None states a path. The path must come from the catalog before the issue is pulled.</t>
  </si>
  <si>
    <t xml:space="preserve">The rule to keep</t>
  </si>
  <si>
    <t xml:space="preserve">No ticket without a contract. Importing is fine; starting an issue while its Contract column reads Proposed is not.</t>
  </si>
  <si>
    <t xml:space="preserve">Definition of done — applies to every issue</t>
  </si>
  <si>
    <t xml:space="preserve">1.</t>
  </si>
  <si>
    <t xml:space="preserve">Merged after peer review; Larastan level 6, Pint and Rector pass; Deptrac and the architecture suite pass.</t>
  </si>
  <si>
    <t xml:space="preserve">2.</t>
  </si>
  <si>
    <t xml:space="preserve">Unit and feature tests green: 90%+ on engines and money paths, 75%+ on endpoints, permissions and isolation.</t>
  </si>
  <si>
    <t xml:space="preserve">3.</t>
  </si>
  <si>
    <t xml:space="preserve">Every write carries X-Idempotency-Key unless it is on the documented exemption list.</t>
  </si>
  <si>
    <t xml:space="preserve">4.</t>
  </si>
  <si>
    <t xml:space="preserve">Every channel endpoint has an isolation test proving another channel receives 404.</t>
  </si>
  <si>
    <t xml:space="preserve">5.</t>
  </si>
  <si>
    <t xml:space="preserve">All amounts, limits and rates are integers; no float exists on any money path.</t>
  </si>
  <si>
    <t xml:space="preserve">6.</t>
  </si>
  <si>
    <t xml:space="preserve">Every state transition goes through the lifecycle service and is logged with actor and reason.</t>
  </si>
  <si>
    <t xml:space="preserve">7.</t>
  </si>
  <si>
    <t xml:space="preserve">Errors follow the unified envelope and the HTTP status map.</t>
  </si>
  <si>
    <t xml:space="preserve">8.</t>
  </si>
  <si>
    <t xml:space="preserve">Mobile work functions correctly with the network disconnected and syncs without loss or duplication.</t>
  </si>
  <si>
    <t xml:space="preserve">9.</t>
  </si>
  <si>
    <t xml:space="preserve">The OpenAPI document is regenerated and the typed client still builds.</t>
  </si>
  <si>
    <t xml:space="preserve">10.</t>
  </si>
  <si>
    <t xml:space="preserve">Deployed to the test environment and accepted by the product owner.</t>
  </si>
  <si>
    <t xml:space="preserve">Totals</t>
  </si>
  <si>
    <t xml:space="preserve">Issues in this layer</t>
  </si>
  <si>
    <t xml:space="preserve">Points in this layer</t>
  </si>
  <si>
    <t xml:space="preserve">Backend issues</t>
  </si>
  <si>
    <t xml:space="preserve">Frontend issues</t>
  </si>
  <si>
    <t xml:space="preserve">Blocking links</t>
  </si>
  <si>
    <t xml:space="preserve">79</t>
  </si>
  <si>
    <t xml:space="preserve">Tables created</t>
  </si>
  <si>
    <t xml:space="preserve">32</t>
  </si>
  <si>
    <t xml:space="preserve">Epic key</t>
  </si>
  <si>
    <t xml:space="preserve">Epic name</t>
  </si>
  <si>
    <t xml:space="preserve">Covers</t>
  </si>
  <si>
    <t xml:space="preserve">Issues</t>
  </si>
  <si>
    <t xml:space="preserve">Points</t>
  </si>
  <si>
    <t xml:space="preserve">EP-L3-INV</t>
  </si>
  <si>
    <t xml:space="preserve">Inventory</t>
  </si>
  <si>
    <t xml:space="preserve">Warehouses, four balance states, reservation, movements, lots, stocktakes</t>
  </si>
  <si>
    <t xml:space="preserve">SP-09</t>
  </si>
  <si>
    <t xml:space="preserve">EP-L3-FUL</t>
  </si>
  <si>
    <t xml:space="preserve">Fulfillment</t>
  </si>
  <si>
    <t xml:space="preserve">Picking, packing, dual-confirmed handover, inbound receipt</t>
  </si>
  <si>
    <t xml:space="preserve">SP-10</t>
  </si>
  <si>
    <t xml:space="preserve">EP-L3-DLV</t>
  </si>
  <si>
    <t xml:space="preserve">Delivery</t>
  </si>
  <si>
    <t xml:space="preserve">Assignment, acceptance, delivery, line matching, tracking</t>
  </si>
  <si>
    <t xml:space="preserve">SP-11</t>
  </si>
  <si>
    <t xml:space="preserve">EP-L3-RET</t>
  </si>
  <si>
    <t xml:space="preserve">Returns</t>
  </si>
  <si>
    <t xml:space="preserve">Return and exchange from both apps, channel decision, warehouse sorting</t>
  </si>
  <si>
    <t xml:space="preserve">SP-12</t>
  </si>
  <si>
    <t xml:space="preserve">EP-L3-FIN</t>
  </si>
  <si>
    <t xml:space="preserve">Finance</t>
  </si>
  <si>
    <t xml:space="preserve">Invoices, payments, receivables, rep wallets, settlements, ageing</t>
  </si>
  <si>
    <t xml:space="preserve">SP-13</t>
  </si>
  <si>
    <t xml:space="preserve">EP-L3-SYN</t>
  </si>
  <si>
    <t xml:space="preserve">Offline sync</t>
  </si>
  <si>
    <t xml:space="preserve">Outbox intake, deduplication, differential sync, conflict resolution</t>
  </si>
  <si>
    <t xml:space="preserve">EP-L3-FE-RP</t>
  </si>
  <si>
    <t xml:space="preserve">Rep app operations</t>
  </si>
  <si>
    <t xml:space="preserve">Order capture, delivery, collection, warehouse receipt, customers, wallet</t>
  </si>
  <si>
    <t xml:space="preserve">SP-10, SP-11, SP-13</t>
  </si>
  <si>
    <t xml:space="preserve">EP-L3-FE-WH</t>
  </si>
  <si>
    <t xml:space="preserve">Warehouse console</t>
  </si>
  <si>
    <t xml:space="preserve">Work queues, picking, packing, handover, inbound, returns, stocktake</t>
  </si>
  <si>
    <t xml:space="preserve">SP-09, SP-10</t>
  </si>
  <si>
    <t xml:space="preserve">EP-L3-FE-RT</t>
  </si>
  <si>
    <t xml:space="preserve">Retailer receipt and tracking</t>
  </si>
  <si>
    <t xml:space="preserve">Tracking, receipt, returns, statement, payment recording</t>
  </si>
  <si>
    <t xml:space="preserve">SP-11, SP-12, SP-13</t>
  </si>
  <si>
    <t xml:space="preserve">EP-L3-FE-CH</t>
  </si>
  <si>
    <t xml:space="preserve">Channel operations console</t>
  </si>
  <si>
    <t xml:space="preserve">Inventory, assignment, reps, retailers, returns, finance</t>
  </si>
  <si>
    <t xml:space="preserve">SP-09, SP-11, SP-12, SP-13</t>
  </si>
  <si>
    <t xml:space="preserve">Key</t>
  </si>
  <si>
    <t xml:space="preserve">Side</t>
  </si>
  <si>
    <t xml:space="preserve">Unit</t>
  </si>
  <si>
    <t xml:space="preserve">Title</t>
  </si>
  <si>
    <t xml:space="preserve">Epic</t>
  </si>
  <si>
    <t xml:space="preserve">Sprint</t>
  </si>
  <si>
    <t xml:space="preserve">Tables</t>
  </si>
  <si>
    <t xml:space="preserve">Requirements</t>
  </si>
  <si>
    <t xml:space="preserve">Acceptance criteria</t>
  </si>
  <si>
    <t xml:space="preserve">Out of scope</t>
  </si>
  <si>
    <t xml:space="preserve">Priority</t>
  </si>
  <si>
    <t xml:space="preserve">Blocked by</t>
  </si>
  <si>
    <t xml:space="preserve">Contract</t>
  </si>
  <si>
    <t xml:space="preserve">BE3-INV01</t>
  </si>
  <si>
    <t xml:space="preserve">Backend</t>
  </si>
  <si>
    <t xml:space="preserve">Warehouses and stock balances</t>
  </si>
  <si>
    <t xml:space="preserve">warehouses, stock_levels</t>
  </si>
  <si>
    <t xml:space="preserve">—</t>
  </si>
  <si>
    <t xml:space="preserve">1. Multiple warehouses per channel with a default warehouse per zone.
2. Four balance states per item and variant per warehouse: available, reserved for confirmed orders, in transit with a rep, damaged or quarantined.
3. The retailer is served a logical availability state only, never a number (BR-14).</t>
  </si>
  <si>
    <t xml:space="preserve">☐  The four states always sum to the physical balance.
☐  No API path returns a numeric quantity to a retailer token.</t>
  </si>
  <si>
    <t xml:space="preserve">Nothing beyond the epic scope.</t>
  </si>
  <si>
    <t xml:space="preserve">Highest</t>
  </si>
  <si>
    <t xml:space="preserve">BE2-CAT03, BE-T09</t>
  </si>
  <si>
    <t xml:space="preserve">Proposed</t>
  </si>
  <si>
    <t xml:space="preserve">BE3-INV02</t>
  </si>
  <si>
    <t xml:space="preserve">Reservation and deduction lifecycle</t>
  </si>
  <si>
    <t xml:space="preserve">reservations</t>
  </si>
  <si>
    <t xml:space="preserve">SubOrderConfirmed, HandoverCompleted</t>
  </si>
  <si>
    <t xml:space="preserve">1. Reservation starts at confirmation, not before, and is released automatically on cancellation or expiry (BR-05).
2. Actual deduction happens at handover to the rep, not at picking (BR-05).
3. Reservation and release are transactional and cannot double-reserve under concurrency.</t>
  </si>
  <si>
    <t xml:space="preserve">☐  Two confirmations racing for the last unit produce one success and one clear failure.
☐  An expired reservation returns the stock without manual intervention.</t>
  </si>
  <si>
    <t xml:space="preserve">BE3-INV01, BE2-ORD04</t>
  </si>
  <si>
    <t xml:space="preserve">BE3-INV03</t>
  </si>
  <si>
    <t xml:space="preserve">Immutable movement ledger</t>
  </si>
  <si>
    <t xml:space="preserve">stock_movements</t>
  </si>
  <si>
    <t xml:space="preserve">1. Every movement records type, item, quantity, balance before and after, source document, user and time.
2. The ledger is append only; corrections are new movements, never edits.</t>
  </si>
  <si>
    <t xml:space="preserve">☐  Closing balance always equals opening plus inbound minus delivered plus sound returns (DOC-01 §8).
☐  No update or delete path exists on the ledger.</t>
  </si>
  <si>
    <t xml:space="preserve">BE3-INV01, BE-C04</t>
  </si>
  <si>
    <t xml:space="preserve">BE3-INV04</t>
  </si>
  <si>
    <t xml:space="preserve">Reorder thresholds and alerts</t>
  </si>
  <si>
    <t xml:space="preserve">1. A reorder point per item with an alert to the channel dashboard and a notification to the owner.
2. Flag items at or below threshold that still carry open orders.</t>
  </si>
  <si>
    <t xml:space="preserve">☐  An item crossing its threshold raises exactly one alert, not one per movement.</t>
  </si>
  <si>
    <t xml:space="preserve">Medium</t>
  </si>
  <si>
    <t xml:space="preserve">BE3-INV05</t>
  </si>
  <si>
    <t xml:space="preserve">Lots, expiry and FEFO</t>
  </si>
  <si>
    <t xml:space="preserve">lots</t>
  </si>
  <si>
    <t xml:space="preserve">1. Lot number and expiry date for items that require them, with a near-expiry alert.
2. FEFO issue policy applied at picking suggestion.</t>
  </si>
  <si>
    <t xml:space="preserve">☐  A picking suggestion never proposes a later-expiring lot before an earlier one.</t>
  </si>
  <si>
    <t xml:space="preserve">BE3-INV06</t>
  </si>
  <si>
    <t xml:space="preserve">Transfers and stocktakes</t>
  </si>
  <si>
    <t xml:space="preserve">stocktakes</t>
  </si>
  <si>
    <t xml:space="preserve">1. Inter-warehouse transfer as a document passing through sent and received states.
2. Stocktake types: full scheduled, cycle count, single item on suspicion.
3. Actual quantity entered without showing the book quantity, as a switchable option, to avoid bias.
4. A variance report requires a higher approval before balances are adjusted.</t>
  </si>
  <si>
    <t xml:space="preserve">☐  A variance adjustment without approval is impossible.
☐  Items under stocktake are frozen for movement.</t>
  </si>
  <si>
    <t xml:space="preserve">BE3-FUL01</t>
  </si>
  <si>
    <t xml:space="preserve">Picking lists</t>
  </si>
  <si>
    <t xml:space="preserve">picking_lists, picking_lines</t>
  </si>
  <si>
    <t xml:space="preserve">1. A picking list is generated automatically on sub-order confirmation.
2. Lines are ordered by the optimal picking path using aisle and shelf location.
3. Scan confirmation increments the picked counter; manual entry is allowed but recorded as manual.
4. Scanning a barcode not on the list is refused with an audible and visual warning.</t>
  </si>
  <si>
    <t xml:space="preserve">☐  A wrong scan cannot be accepted by any interaction.
☐  The list order minimises walking distance measurably against unordered picking.</t>
  </si>
  <si>
    <t xml:space="preserve">BE3-FUL02</t>
  </si>
  <si>
    <t xml:space="preserve">Shortage handling during picking</t>
  </si>
  <si>
    <t xml:space="preserve">1. Record the actually available quantity with a reason: out of stock, damaged, not at location.
2. Immediate alert to sales for a decision: partial fulfilment, substitute item, or postpone.
3. Substitute suggestions are proposed by the warehouse but approved only by sales.</t>
  </si>
  <si>
    <t xml:space="preserve">☐  A substitution never takes effect on warehouse authority alone.
☐  The retailer sees the amended invoice amount, not a silent short delivery.</t>
  </si>
  <si>
    <t xml:space="preserve">High</t>
  </si>
  <si>
    <t xml:space="preserve">BE3-FUL03</t>
  </si>
  <si>
    <t xml:space="preserve">Packing and quality check</t>
  </si>
  <si>
    <t xml:space="preserve">packages</t>
  </si>
  <si>
    <t xml:space="preserve">1. Final rescan of every item against the order for a zero-error check.
2. Record package count and total weight and print a label per package with order, shop, zone and QR.
3. Flags for fragile and refrigerated items.</t>
  </si>
  <si>
    <t xml:space="preserve">☐  An item missed at packing blocks the ready state.
☐  Every package carries a scannable label.</t>
  </si>
  <si>
    <t xml:space="preserve">BE3-FUL04</t>
  </si>
  <si>
    <t xml:space="preserve">Handover with dual confirmation</t>
  </si>
  <si>
    <t xml:space="preserve">handovers, handover_confirmations</t>
  </si>
  <si>
    <t xml:space="preserve">HandoverCompleted</t>
  </si>
  <si>
    <t xml:space="preserve">1. The warehouse presses hand over and the rep presses receive; neither alone completes the operation (REQ-IN-02).
2. Completion deducts stock physically, moves the sub-order to on_the_way and enables tracking for the retailer.
3. If the rep device is offline, issue a temporary handover code that the rep scans later, leaving the state as awaiting rep confirmation.
4. The whole effect runs in one transaction.</t>
  </si>
  <si>
    <t xml:space="preserve">☐  One-sided confirmation never deducts stock and never changes the state.
☐  A temporary code is single use and expires.
☐  Retailer tracking activates at the moment both sides confirm.</t>
  </si>
  <si>
    <t xml:space="preserve">BE3-FUL03, BE-C03</t>
  </si>
  <si>
    <t xml:space="preserve">BE3-FUL05</t>
  </si>
  <si>
    <t xml:space="preserve">Rep end-of-day return</t>
  </si>
  <si>
    <t xml:space="preserve">1. Record undelivered orders, return their goods to stock and reconcile the rep custody to zero.
2. Any discrepancy is recorded as a documented variance, never silently absorbed.</t>
  </si>
  <si>
    <t xml:space="preserve">☐  Rep custody reconciles to zero at end of day or the variance is explicit and attributed.</t>
  </si>
  <si>
    <t xml:space="preserve">BE3-FUL06</t>
  </si>
  <si>
    <t xml:space="preserve">Inbound receipt</t>
  </si>
  <si>
    <t xml:space="preserve">inbound_receipts</t>
  </si>
  <si>
    <t xml:space="preserve">1. Sources: purchase from a supplier, transfer from another warehouse, field returns.
2. Match expected against actually received, record lot and expiry where required.
3. Quality outcome: accept, partially reject or quarantine, with photographs of rejected items.
4. Assign a storage location with an automatic suggestion based on history.</t>
  </si>
  <si>
    <t xml:space="preserve">☐  A receipt creates an inbound movement and updates the available balance immediately.</t>
  </si>
  <si>
    <t xml:space="preserve">BE3-DLV01</t>
  </si>
  <si>
    <t xml:space="preserve">Ordering</t>
  </si>
  <si>
    <t xml:space="preserve">Assignment engine</t>
  </si>
  <si>
    <t xml:space="preserve">assignments</t>
  </si>
  <si>
    <t xml:space="preserve">1. Manual assignment showing each rep current load and today order count.
2. Automatic assignment by zone with load cap and duty state respected.
3. Bulk assignment of a whole zone to one rep in a single action.
4. Assignment to an off-duty rep or outside their zones is refused (BR-19).
5. Reassignment records a reason and is blocked after handover except through a warehouse return path.</t>
  </si>
  <si>
    <t xml:space="preserve">☐  An off-duty rep cannot receive an assignment through any path.
☐  A rejected order returns to unassigned with a reason and an immediate alert to sales (REQ-IN-03).</t>
  </si>
  <si>
    <t xml:space="preserve">BE2-ORD06, BE-T08</t>
  </si>
  <si>
    <t xml:space="preserve">BE3-DLV02</t>
  </si>
  <si>
    <t xml:space="preserve">Rep acceptance queue</t>
  </si>
  <si>
    <t xml:space="preserve">1. Assigned orders appear in the rep accept list grouped by zone.
2. Acceptance moves the order to the delivery list and removes it from the accept list.
3. Rejection returns it to unassigned with a mandatory reason.</t>
  </si>
  <si>
    <t xml:space="preserve">☐  Acceptance is reflected in the warehouse receipt screen immediately.
☐  The decision survives an offline period and syncs without duplication.</t>
  </si>
  <si>
    <t xml:space="preserve">BE3-DLV03</t>
  </si>
  <si>
    <t xml:space="preserve">Delivery execution and line matching</t>
  </si>
  <si>
    <t xml:space="preserve">deliveries, delivery_lines</t>
  </si>
  <si>
    <t xml:space="preserve">DeliveryCompleted</t>
  </si>
  <si>
    <t xml:space="preserve">1. Both parties see the identical line list, and any quantity edit changes the invoice amount for both (REQ-IN-05).
2. Per-line outcomes: received, quantity adjusted, return requested, exchange requested.
3. Order outcomes: delivered, not delivered with a reason, postponed with a scheduled datetime and a reason.
4. A postponement creates a scheduled order.</t>
  </si>
  <si>
    <t xml:space="preserve">☐  A quantity edit by the rep is visible to the retailer on the same invoice.
☐  The final invoice equals the sum of the accepted lines exactly.</t>
  </si>
  <si>
    <t xml:space="preserve">BE3-DLV04</t>
  </si>
  <si>
    <t xml:space="preserve">Rep duty state and location</t>
  </si>
  <si>
    <t xml:space="preserve">rep_locations, rep_shifts</t>
  </si>
  <si>
    <t xml:space="preserve">1. Location pings only while on duty and fully stopped otherwise (REQ-CM-054).
2. Ping rate balances tracking accuracy against battery, with batching while stationary.
3. Retailer-facing tracking is enabled only from on_the_way onward.</t>
  </si>
  <si>
    <t xml:space="preserve">☐  Going off duty stops every ping immediately, verified at the API level.
☐  Battery consumption over a full working day stays within the agreed budget.</t>
  </si>
  <si>
    <t xml:space="preserve">BE3-DLV05</t>
  </si>
  <si>
    <t xml:space="preserve">Scheduled orders</t>
  </si>
  <si>
    <t xml:space="preserve">scheduled_orders</t>
  </si>
  <si>
    <t xml:space="preserve">1. Created from the channel dashboard or as the result of a rep postponement.
2. A weekly and monthly calendar view of scheduled load per zone and per rep.
3. A morning alert for unassigned scheduled orders.</t>
  </si>
  <si>
    <t xml:space="preserve">☐  A postponement in the rep app appears immediately in the channel calendar.</t>
  </si>
  <si>
    <t xml:space="preserve">BE3-DLV06</t>
  </si>
  <si>
    <t xml:space="preserve">Rep customers and zones</t>
  </si>
  <si>
    <t xml:space="preserve">1. The rep sees their own shops plus shops that self-registered into their zones.
2. Adding a shop from the field creates a valid retailer with location, activity, categories and equipment.
3. Zone list with shop counts and drill-through.</t>
  </si>
  <si>
    <t xml:space="preserve">☐  A field-created shop appears immediately in the rep customer list and is a real retailer record.</t>
  </si>
  <si>
    <t xml:space="preserve">BE-I07</t>
  </si>
  <si>
    <t xml:space="preserve">BE3-RET01</t>
  </si>
  <si>
    <t xml:space="preserve">Return and exchange requests</t>
  </si>
  <si>
    <t xml:space="preserve">return_requests, return_lines</t>
  </si>
  <si>
    <t xml:space="preserve">1. A request may originate from the retailer app or the rep app, with a mandatory reason and optional photographs.
2. A unified decision inbox at the channel; the decision belongs to the channel alone (REQ-IN-04).
3. An SLA timer on response with automatic escalation on breach.</t>
  </si>
  <si>
    <t xml:space="preserve">☐  Neither app can approve its own request.
☐  A breached SLA escalates without human action.</t>
  </si>
  <si>
    <t xml:space="preserve">BE3-RET02</t>
  </si>
  <si>
    <t xml:space="preserve">Decision effects</t>
  </si>
  <si>
    <t xml:space="preserve">return_decisions</t>
  </si>
  <si>
    <t xml:space="preserve">ReturnApproved</t>
  </si>
  <si>
    <t xml:space="preserve">1. Return accepted: mark the line returned, zero its value on the invoice, reduce the receivable, restock according to warehouse inspection (BR-13).
2. Exchange accepted: mark the line exchanged, grey the price and exclude it financially until the exchange completes, then record the price.
3. A line inside an offer zeroes the whole offer, never the line alone (BR-08).</t>
  </si>
  <si>
    <t xml:space="preserve">☐  Restocking follows the warehouse inspection, not the requester claim.
☐  A returned offer line reverses the entire offer computation.</t>
  </si>
  <si>
    <t xml:space="preserve">BE3-RET01, BE3-FIN01</t>
  </si>
  <si>
    <t xml:space="preserve">BE3-RET03</t>
  </si>
  <si>
    <t xml:space="preserve">Warehouse return sorting</t>
  </si>
  <si>
    <t xml:space="preserve">1. Sort into resaleable, damaged or expired.
2. Sound goods return to available; damaged goods move to damaged stock with a later disposal document.
3. Every return links to its financial document to keep stock and accounting aligned.</t>
  </si>
  <si>
    <t xml:space="preserve">☐  A return with no linked credit note cannot be closed.</t>
  </si>
  <si>
    <t xml:space="preserve">BE3-RET02, BE3-FUL06</t>
  </si>
  <si>
    <t xml:space="preserve">BE3-RET04</t>
  </si>
  <si>
    <t xml:space="preserve">Return reasons report</t>
  </si>
  <si>
    <t xml:space="preserve">1. Reasons ranked by frequency and value, segmented by product, rep and zone.</t>
  </si>
  <si>
    <t xml:space="preserve">☐  Every figure traces to its underlying requests.</t>
  </si>
  <si>
    <t xml:space="preserve">Low</t>
  </si>
  <si>
    <t xml:space="preserve">BE3-FIN01</t>
  </si>
  <si>
    <t xml:space="preserve">Invoices</t>
  </si>
  <si>
    <t xml:space="preserve">invoices, invoice_lines</t>
  </si>
  <si>
    <t xml:space="preserve">1. Generated from the sub-order and posted only after delivery and the settlement of shortages and returns.
2. States: draft, posted, partially paid, fully paid, overdue, cancelled, amended by credit note.
3. A posted invoice is immutable; corrections go through a linked credit or debit note (BR-10).
4. PDF with the channel letterhead, exportable and deliverable inside the app.</t>
  </si>
  <si>
    <t xml:space="preserve">☐  No path edits a posted invoice.
☐  The invoice total equals the accepted lines minus discounts and returns, to the smallest unit.</t>
  </si>
  <si>
    <t xml:space="preserve">BE3-DLV03, BE-C06</t>
  </si>
  <si>
    <t xml:space="preserve">BE3-FIN02</t>
  </si>
  <si>
    <t xml:space="preserve">Payments with a unique receipt</t>
  </si>
  <si>
    <t xml:space="preserve">payments, receipts</t>
  </si>
  <si>
    <t xml:space="preserve">PaymentRecorded</t>
  </si>
  <si>
    <t xml:space="preserve">1. Sources: rep app, retailer app, or direct accountant entry.
2. A payment is against a specific invoice or on account.
3. The receipt number is generated by one side and read by the other; two payments with the same number are impossible even across repeated sync (REQ-IN-01, BR-11).
4. Automatic allocation on account is oldest first, with manual reallocation available.</t>
  </si>
  <si>
    <t xml:space="preserve">☐  A duplicate receipt number is refused at the database level, not only in validation.
☐  A payment updates the retailer receivable, the rep wallet and the channel ledger in one transaction.</t>
  </si>
  <si>
    <t xml:space="preserve">BE3-FIN01, BE-C03</t>
  </si>
  <si>
    <t xml:space="preserve">BE3-FIN03</t>
  </si>
  <si>
    <t xml:space="preserve">Receivables and ageing</t>
  </si>
  <si>
    <t xml:space="preserve">receivables</t>
  </si>
  <si>
    <t xml:space="preserve">1. Live receivable per retailer per channel.
2. Ageing buckets 0-30, 31-60, 61-90 and over 90 days, groupable by zone and by rep.
3. Credit limit with a grace period and a configurable behaviour on breach: warn, block new orders, or require manual approval.</t>
  </si>
  <si>
    <t xml:space="preserve">☐  The retailer statement reconciles to invoices minus payments minus returns at any instant (AC-07).
☐  A credit breach behaves exactly as configured, enforced server side.</t>
  </si>
  <si>
    <t xml:space="preserve">BE3-FIN04</t>
  </si>
  <si>
    <t xml:space="preserve">Rep wallet</t>
  </si>
  <si>
    <t xml:space="preserve">rep_wallets, wallet_transactions</t>
  </si>
  <si>
    <t xml:space="preserve">1. The wallet equals collections minus amounts handed to the accountant, at any instant (AC-06).
2. A withdrawal carries an amount and an operation number obtained from the accountant.
3. A cash cap above which handover becomes mandatory, enforced by the server (BR-12).
4. Every wallet movement is a ledger entry; the balance is never stored as a standalone editable number.</t>
  </si>
  <si>
    <t xml:space="preserve">☐  The wallet balance is recomputable from its transactions and always matches.
☐  Exceeding the cash cap blocks further collection until settlement.</t>
  </si>
  <si>
    <t xml:space="preserve">BE3-FIN05</t>
  </si>
  <si>
    <t xml:space="preserve">Rep settlement</t>
  </si>
  <si>
    <t xml:space="preserve">settlements</t>
  </si>
  <si>
    <t xml:space="preserve">1. The accountant enters the handover operation number and amount; the wallet is reduced and a receipt voucher is printed.
2. A settlement is an accounting document, not a status flag.</t>
  </si>
  <si>
    <t xml:space="preserve">☐  A settlement without a matching wallet movement cannot exist.</t>
  </si>
  <si>
    <t xml:space="preserve">BE3-FIN06</t>
  </si>
  <si>
    <t xml:space="preserve">Statements and financial reports</t>
  </si>
  <si>
    <t xml:space="preserve">1. Retailer statement between two dates with opening and closing balances, exportable as PDF.
2. Daily collection per rep against target.
3. Net sales after discounts and returns by product, brand, category, zone and rep.</t>
  </si>
  <si>
    <t xml:space="preserve">☐  Every report figure drills down to its source document (DOC-01 §7).</t>
  </si>
  <si>
    <t xml:space="preserve">BE3-SYN01</t>
  </si>
  <si>
    <t xml:space="preserve">Sync</t>
  </si>
  <si>
    <t xml:space="preserve">Outbox intake endpoint</t>
  </si>
  <si>
    <t xml:space="preserve">sync_operations</t>
  </si>
  <si>
    <t xml:space="preserve">1. A batch endpoint accepting an ordered set of operations and returning an independent result per operation.
2. Every operation carries a device-generated client_uuid that makes retry safe.
3. Runs on the critical queue and is never starved by reports.</t>
  </si>
  <si>
    <t xml:space="preserve">☐  Replaying a whole batch produces no duplicate of any operation (AC-05).
☐  A failure on one operation does not reject the batch.</t>
  </si>
  <si>
    <t xml:space="preserve">BE-C03</t>
  </si>
  <si>
    <t xml:space="preserve">BE3-SYN02</t>
  </si>
  <si>
    <t xml:space="preserve">Differential sync and cursors</t>
  </si>
  <si>
    <t xml:space="preserve">sync_cursors</t>
  </si>
  <si>
    <t xml:space="preserve">1. Only what changed is returned, never the whole catalog (REQ-CM-016).
2. A cursor per dataset: catalog, prices, offers, customers, zones, orders.
3. PriceListChanged and similar events mark data for the next differential pull.</t>
  </si>
  <si>
    <t xml:space="preserve">☐  A day of catalog changes transfers a fraction of a full catalog payload.
☐  A device offline for a week catches up without downloading everything.</t>
  </si>
  <si>
    <t xml:space="preserve">BE2-CAT07</t>
  </si>
  <si>
    <t xml:space="preserve">BE3-SYN03</t>
  </si>
  <si>
    <t xml:space="preserve">Conflict resolution</t>
  </si>
  <si>
    <t xml:space="preserve">sync_conflicts</t>
  </si>
  <si>
    <t xml:space="preserve">1. The server is the source of truth for catalog, prices, offers and stock; the device never edits them (REQ-CM-017).
2. An order created offline is always accepted and repriced on the server, with the difference reported (REQ-CM-018).
3. Financial operations are never dropped from the outbox before the server confirms (REQ-CM-019).</t>
  </si>
  <si>
    <t xml:space="preserve">☐  A full working day offline with deliberate interruptions loses and duplicates nothing (AC-05).
☐  A repriced offline order surfaces the delta to the user rather than silently changing.</t>
  </si>
  <si>
    <t xml:space="preserve">BE3-SYN04</t>
  </si>
  <si>
    <t xml:space="preserve">Sync state and manual trigger</t>
  </si>
  <si>
    <t xml:space="preserve">1. Expose per-device sync state so the apps can render the three-colour indicator.
2. Support a manual sync trigger and report unsent operation counts.</t>
  </si>
  <si>
    <t xml:space="preserve">☐  The indicator state matches the server view of the device.</t>
  </si>
  <si>
    <t xml:space="preserve">FE3-RP01</t>
  </si>
  <si>
    <t xml:space="preserve">Frontend</t>
  </si>
  <si>
    <t xml:space="preserve">Rep app</t>
  </si>
  <si>
    <t xml:space="preserve">Rep home with live counters</t>
  </si>
  <si>
    <t xml:space="preserve">1. Header with greeting, date, notifications, connection state, manual sync, duty toggle and points bar.
2. Six task buttons each with a live counter: capture order, deliver, collect payment, accept orders, scheduled, warehouse receipt.
3. Three circles: products, customers, zones.</t>
  </si>
  <si>
    <t xml:space="preserve">☐  Counters render from cache offline with the last sync time shown.
☐  The duty toggle stops location pings immediately when switched off.</t>
  </si>
  <si>
    <t xml:space="preserve">RP-08, BE3-DLV02</t>
  </si>
  <si>
    <t xml:space="preserve">FE3-RP02</t>
  </si>
  <si>
    <t xml:space="preserve">Order capture flow</t>
  </si>
  <si>
    <t xml:space="preserve">1. Zone, then shop, then product selection by search, categories, most ordered and offers.
2. Variants bind independently with the requested count shown above each.
3. A floating bar holds the selected products and offers, opened for review and edit before adding to the cart under the shop name.
4. The whole flow works fully offline from the local catalog.</t>
  </si>
  <si>
    <t xml:space="preserve">☐  A complete order is captured in under thirty seconds with a real rep in a real shop (AC-03).
☐  The flow completes with no connectivity and syncs without duplication.</t>
  </si>
  <si>
    <t xml:space="preserve">FE3-RP01, BE2-ORD01</t>
  </si>
  <si>
    <t xml:space="preserve">FE3-RP03</t>
  </si>
  <si>
    <t xml:space="preserve">Delivery screen</t>
  </si>
  <si>
    <t xml:space="preserve">1. Grouped by zone with total and delivered counts per zone.
2. Cards with a green border carrying shop, zone, channel, invoice number and order datetime.
3. Border colour by state: grey delivered, red cancelled or not delivered, blue postponed.
4. Map view with estimated arrival.</t>
  </si>
  <si>
    <t xml:space="preserve">☐  Managing a round takes three taps: open zone, open card, confirm delivery.
☐  Colours update instantly and remain correct after an app restart.</t>
  </si>
  <si>
    <t xml:space="preserve">FE3-RP04</t>
  </si>
  <si>
    <t xml:space="preserve">Delivery card detail and line actions</t>
  </si>
  <si>
    <t xml:space="preserve">1. Line list with image, name, brand, attributes, quantity, price, deliver button and an options group.
2. Quantity adjustment saved on the line and reflected in the invoice total.
3. Return or exchange with a mandatory reason, sent to the channel for decision.
4. An exchanged line shows a greyed price until the exchange completes.</t>
  </si>
  <si>
    <t xml:space="preserve">☐  A quantity edit changes the invoice for both parties (REQ-IN-05).
☐  The invoice total at the end of the list always matches the lines.</t>
  </si>
  <si>
    <t xml:space="preserve">FE3-RP05</t>
  </si>
  <si>
    <t xml:space="preserve">Collect payment</t>
  </si>
  <si>
    <t xml:space="preserve">1. Receipt number linked to the retailer app to prevent double entry.
2. Date, time and rep name prefilled; shop from a list; invoice number optional.
3. With an invoice the payment posts to it, without one it posts on account.
4. Confirmation adds the amount to the wallet.</t>
  </si>
  <si>
    <t xml:space="preserve">☐  The same receipt number can never record two payments, even after repeated sync (REQ-IN-01).
☐  The wallet increases by exactly the collected amount.</t>
  </si>
  <si>
    <t xml:space="preserve">FE3-RP06</t>
  </si>
  <si>
    <t xml:space="preserve">Accept orders screen</t>
  </si>
  <si>
    <t xml:space="preserve">1. Cards grouped by zone with accept, reject and detail actions.
2. Accepting moves the order to the delivery list and removes it from this screen.</t>
  </si>
  <si>
    <t xml:space="preserve">☐  Acceptance is immediate in the UI and syncs the decision reliably.</t>
  </si>
  <si>
    <t xml:space="preserve">FE3-RP07</t>
  </si>
  <si>
    <t xml:space="preserve">Scheduled orders screen</t>
  </si>
  <si>
    <t xml:space="preserve">1. Cards with shop logo, name, address, phone, scheduled datetime, detail button and a state selector.
2. A colour-coded state icon: green delivered, grey not delivered, blue postponed, red cancelled.
3. A delivered order disappears from the screen.</t>
  </si>
  <si>
    <t xml:space="preserve">☐  A new date set here reaches the channel dashboard.</t>
  </si>
  <si>
    <t xml:space="preserve">FE3-RP08</t>
  </si>
  <si>
    <t xml:space="preserve">Warehouse receipt screen</t>
  </si>
  <si>
    <t xml:space="preserve">1. Date, rep name, count to receive, and a table of assigned orders with detail and receive actions.
2. This screen is the direct counterpart of the warehouse handover screen.
3. Offline: scan the temporary handover code later when connectivity returns.</t>
  </si>
  <si>
    <t xml:space="preserve">☐  Receipt does not complete until both sides confirm (REQ-IN-02).
☐  Stock deduction and the on_the_way state occur only at that moment.</t>
  </si>
  <si>
    <t xml:space="preserve">FE3-RP09</t>
  </si>
  <si>
    <t xml:space="preserve">Products, customers and zones</t>
  </si>
  <si>
    <t xml:space="preserve">1. Products page fed by the channel, possibly across more than one channel, with search, barcode, filters and sliders.
2. Customers page with search, filters, add shop, and a card with call, map, open and active icons.
3. Zones page with add zone, shop counts and drill-through.</t>
  </si>
  <si>
    <t xml:space="preserve">☐  A shop added in the field appears immediately with its location, activity and categories.
☐  All three pages work offline from cache.</t>
  </si>
  <si>
    <t xml:space="preserve">FE3-RP10</t>
  </si>
  <si>
    <t xml:space="preserve">Wallet screen</t>
  </si>
  <si>
    <t xml:space="preserve">1. Net wallet block, statistics block for delivered invoices, collected amounts and receivables, and today dues with a date picker.
2. Withdrawal with amount and accountant operation number, then the remaining balance message.
3. Withdrawal statement between two dates, exportable and shareable as PDF.
4. Uncollected debt with per-shop detail and export.</t>
  </si>
  <si>
    <t xml:space="preserve">☐  The displayed balance equals collections minus settlements at any instant (AC-06).
☐  A withdrawal recorded offline syncs once with its unique identifier.</t>
  </si>
  <si>
    <t xml:space="preserve">FE3-WH01</t>
  </si>
  <si>
    <t xml:space="preserve">Warehouse home and work queues</t>
  </si>
  <si>
    <t xml:space="preserve">1. Large queue cards with counters: awaiting picking, picking, awaiting packing, ready, awaiting rep, inbound returns, inbound transfers.
2. Alert strip for blocking shortages, reorder-threshold items and near-expiry items.
3. Quick actions: scan, quick count, receive inbound, find an item and its location.</t>
  </si>
  <si>
    <t xml:space="preserve">☐  Every queue counter is a live server figure.
☐  The screen is legible from two metres on a tablet.</t>
  </si>
  <si>
    <t xml:space="preserve">WH-04, BE3-FUL01</t>
  </si>
  <si>
    <t xml:space="preserve">FE3-WH02</t>
  </si>
  <si>
    <t xml:space="preserve">Picking screen</t>
  </si>
  <si>
    <t xml:space="preserve">1. Header with order number, shop, zone, expected rep, item and piece counts and due time.
2. Lines ordered by optimal path with aisle and shelf, image, variant, required quantity, unit, barcode and picked count.
3. Scanning increments the counter; a wrong scan triggers an audible and visual rejection.
4. Batch picking of several orders in one round within the same zone.</t>
  </si>
  <si>
    <t xml:space="preserve">☐  A wrong scan is impossible to accept.
☐  The full screen operates with no connectivity and syncs afterwards.</t>
  </si>
  <si>
    <t xml:space="preserve">FE3-WH03</t>
  </si>
  <si>
    <t xml:space="preserve">Shortage handling</t>
  </si>
  <si>
    <t xml:space="preserve">1. Record the available quantity with a reason and alert sales immediately.
2. Show substitute suggestions from the same category, actionable only with sales approval.</t>
  </si>
  <si>
    <t xml:space="preserve">☐  The warehouse cannot substitute unilaterally.</t>
  </si>
  <si>
    <t xml:space="preserve">FE3-WH04</t>
  </si>
  <si>
    <t xml:space="preserve">1. Final rescan against the order, package count and weight, label printing per package.
2. Invoice and delivery-note printing with a copy count.
3. Fragile and refrigerated markers.</t>
  </si>
  <si>
    <t xml:space="preserve">☐  Ready cannot be set while any item is unscanned.</t>
  </si>
  <si>
    <t xml:space="preserve">FE3-WH05</t>
  </si>
  <si>
    <t xml:space="preserve">Handover screen</t>
  </si>
  <si>
    <t xml:space="preserve">1. Select the rep from those present or scan their QR from the rep app.
2. Show all their ready assigned orders with package counts and total value.
3. Dual confirmation is mandatory; a temporary code covers an offline rep device.
4. End-of-day return screen recording undelivered orders back into stock.</t>
  </si>
  <si>
    <t xml:space="preserve">☐  One-sided confirmation never completes the handover (REQ-IN-02).
☐  An exit note is produced on completion.</t>
  </si>
  <si>
    <t xml:space="preserve">FE3-WH06</t>
  </si>
  <si>
    <t xml:space="preserve">Inbound receipt and returns</t>
  </si>
  <si>
    <t xml:space="preserve">1. Inbound matching against the purchase or transfer document, lot and expiry capture, quality outcome with photographs.
2. Returns sorting into resaleable, damaged and expired, with each linked to its financial document.</t>
  </si>
  <si>
    <t xml:space="preserve">☐  Damaged goods never re-enter available stock.</t>
  </si>
  <si>
    <t xml:space="preserve">BE3-FUL06, BE3-RET03</t>
  </si>
  <si>
    <t xml:space="preserve">FE3-WH07</t>
  </si>
  <si>
    <t xml:space="preserve">Stocktake screen</t>
  </si>
  <si>
    <t xml:space="preserve">1. Count sheets by area and shelf distributed to users.
2. Actual quantity entered without showing the book quantity.
3. Variance report requiring higher approval before adjustment.</t>
  </si>
  <si>
    <t xml:space="preserve">☐  Counted items are frozen for movement during the count.</t>
  </si>
  <si>
    <t xml:space="preserve">FE3-RT01</t>
  </si>
  <si>
    <t xml:space="preserve">Retailer app</t>
  </si>
  <si>
    <t xml:space="preserve">Order tracking screen</t>
  </si>
  <si>
    <t xml:space="preserve">1. A vertical five-stage timeline with the time and date of each stage.
2. At on_the_way the rep name and phone appear with a map tracking button.
3. Offline shows the last known state without live tracking.</t>
  </si>
  <si>
    <t xml:space="preserve">☐  The rep identity is absent from the payload before on_the_way (BR-03).</t>
  </si>
  <si>
    <t xml:space="preserve">FE3-RT02</t>
  </si>
  <si>
    <t xml:space="preserve">Order receipt screen</t>
  </si>
  <si>
    <t xml:space="preserve">1. Opened by invoice number and channel, showing the line list with receive and an options group.
2. Quantity adjustment recalculates the invoice amount.
3. Return or exchange with a mandatory reason sent to the channel.
4. After confirming receipt, prompt for a payment and open the payment window with the receipt number.</t>
  </si>
  <si>
    <t xml:space="preserve">☐  The retailer and rep see identical lines and identical totals (REQ-IN-05).
☐  Recorded offline, it syncs once with its unique identifier.</t>
  </si>
  <si>
    <t xml:space="preserve">FE3-RT03</t>
  </si>
  <si>
    <t xml:space="preserve">Record payment window</t>
  </si>
  <si>
    <t xml:space="preserve">1. Receipt number taken from the rep app, prefilled date, time and shop, optional invoice number, amount, confirm.</t>
  </si>
  <si>
    <t xml:space="preserve">☐  Two payments with the same receipt number are impossible from this screen.</t>
  </si>
  <si>
    <t xml:space="preserve">FE3-RT04</t>
  </si>
  <si>
    <t xml:space="preserve">Returns and exchanges page</t>
  </si>
  <si>
    <t xml:space="preserve">1. All return and exchange requests filtered by date, channel and state.</t>
  </si>
  <si>
    <t xml:space="preserve">☐  A channel decision with its reason is visible to the retailer.</t>
  </si>
  <si>
    <t xml:space="preserve">FE3-RT05</t>
  </si>
  <si>
    <t xml:space="preserve">Statement and monthly statistics</t>
  </si>
  <si>
    <t xml:space="preserve">1. Monthly card with seven financial and operational indicators and a month picker.
2. General statement between two dates with invoice and receipt numbers, exportable.</t>
  </si>
  <si>
    <t xml:space="preserve">☐  The statement reconciles to invoices minus payments minus returns at any instant (AC-07).</t>
  </si>
  <si>
    <t xml:space="preserve">FE3-RT06</t>
  </si>
  <si>
    <t xml:space="preserve">Offline engine in the retailer app</t>
  </si>
  <si>
    <t xml:space="preserve">1. Local SQLite holding catalog, prices, offers, customers, zones and recent orders.
2. Every write is applied locally and shown immediately, then pushed to an outbox with a unique identifier.
3. Three-colour indicator, manual sync button, exponential backoff and a visible failure state with manual retry.
4. Differential sync only.</t>
  </si>
  <si>
    <t xml:space="preserve">☐  A full order is created offline and arrives intact and unduplicated (DOC-04 §8).
☐  No financial operation leaves the outbox before the server confirms it (REQ-CM-019).</t>
  </si>
  <si>
    <t xml:space="preserve">BE3-SYN01, BE3-SYN02</t>
  </si>
  <si>
    <t xml:space="preserve">FE3-RT07</t>
  </si>
  <si>
    <t xml:space="preserve">Offline engine in the rep app</t>
  </si>
  <si>
    <t xml:space="preserve">1. The same engine configured for the rep dataset: assigned orders, custody, wallet, customers.
2. A complete cycle offline: warehouse receipt, delivery, collection, then sync.</t>
  </si>
  <si>
    <t xml:space="preserve">☐  A full working day offline loses and duplicates nothing (AC-05).
☐  The wallet after sync matches collections minus settlements exactly (AC-06).</t>
  </si>
  <si>
    <t xml:space="preserve">FE3-CH01</t>
  </si>
  <si>
    <t xml:space="preserve">Channel dashboard</t>
  </si>
  <si>
    <t xml:space="preserve">Inventory console</t>
  </si>
  <si>
    <t xml:space="preserve">1. Warehouses, balances by state, movement ledger, stocktakes, transfers and reorder thresholds.
2. Every number drills through to its movement.</t>
  </si>
  <si>
    <t xml:space="preserve">☐  The ledger view is read only and cannot be edited from the UI.</t>
  </si>
  <si>
    <t xml:space="preserve">BE3-INV01, BE3-INV03</t>
  </si>
  <si>
    <t xml:space="preserve">FE3-CH02</t>
  </si>
  <si>
    <t xml:space="preserve">Assignment console</t>
  </si>
  <si>
    <t xml:space="preserve">1. Manual, automatic and bulk zone assignment with rep load and duty state visible.
2. Reassignment with a reason, blocked after handover.
3. Immediate alert on rep rejection with the reason.</t>
  </si>
  <si>
    <t xml:space="preserve">☐  Assigning an off-duty rep is impossible from the UI and from the API.</t>
  </si>
  <si>
    <t xml:space="preserve">FE3-CH03</t>
  </si>
  <si>
    <t xml:space="preserve">Rep management</t>
  </si>
  <si>
    <t xml:space="preserve">1. Account approval, zone and activity binding, allowed product set, operational caps.
2. Duty state, working-hours log, live map and today route.
3. Wallet, collections, settlements and uncollected receivables.
4. Ratings with average stars and quick tags, plus performance indicators.
5. Immediate deactivation transferring open tasks to another rep in one step.</t>
  </si>
  <si>
    <t xml:space="preserve">☐  Deactivation never leaves an order without an owner.</t>
  </si>
  <si>
    <t xml:space="preserve">BE3-DLV04, BE3-FIN04</t>
  </si>
  <si>
    <t xml:space="preserve">FE3-CH04</t>
  </si>
  <si>
    <t xml:space="preserve">Retailer management and the 360 card</t>
  </si>
  <si>
    <t xml:space="preserve">1. Retailer list with filters, registration approval with location and phone verification.
2. The 360 card: profile, financial summary, ageing, last ten orders, most purchased items, responsible rep, visit log and ratings.
3. Retailer groups for pricing, offers and notifications; credit limit, grace period and breach behaviour.</t>
  </si>
  <si>
    <t xml:space="preserve">☐  Every figure on the 360 card drills through to its documents.</t>
  </si>
  <si>
    <t xml:space="preserve">FE3-CH05</t>
  </si>
  <si>
    <t xml:space="preserve">Returns decision inbox</t>
  </si>
  <si>
    <t xml:space="preserve">1. One inbox receiving requests from both apps, showing invoice, retailer, rep, line, quantity, type, reason and photographs.
2. Accept or reject with a mandatory reason and immediate notification to both parties.
3. SLA timer with visible escalation.</t>
  </si>
  <si>
    <t xml:space="preserve">☐  The decision belongs to the channel alone and cannot be taken by either app (REQ-IN-04).</t>
  </si>
  <si>
    <t xml:space="preserve">FE3-CH06</t>
  </si>
  <si>
    <t xml:space="preserve">Finance console</t>
  </si>
  <si>
    <t xml:space="preserve">1. Invoices, payments, statements, ageing and rep settlements.
2. The settlement screen where the accountant enters the operation number and amount and prints the voucher.
3. A posted invoice is corrected only through a credit or debit note.</t>
  </si>
  <si>
    <t xml:space="preserve">☐  No screen offers editing of a posted invoice.
☐  Every financial screen exports to Excel and PDF.</t>
  </si>
  <si>
    <t xml:space="preserve">BE3-FIN01, BE3-FIN05</t>
  </si>
  <si>
    <t xml:space="preserve">Roadmap — every figure is a live formula over the Backlog sheet</t>
  </si>
  <si>
    <t xml:space="preserve">Points by sprint and side</t>
  </si>
  <si>
    <t xml:space="preserve">Total</t>
  </si>
  <si>
    <t xml:space="preserve">Issue count by sprint and side</t>
  </si>
  <si>
    <t xml:space="preserve">Points by sprint and unit</t>
  </si>
  <si>
    <t xml:space="preserve">Blocker</t>
  </si>
  <si>
    <t xml:space="preserve">Blocker title</t>
  </si>
  <si>
    <t xml:space="preserve">Blocker layer</t>
  </si>
  <si>
    <t xml:space="preserve">Blocker sprint</t>
  </si>
  <si>
    <t xml:space="preserve">Blocked</t>
  </si>
  <si>
    <t xml:space="preserve">Blocked title</t>
  </si>
  <si>
    <t xml:space="preserve">Blocked sprint</t>
  </si>
  <si>
    <t xml:space="preserve">From earlier layer</t>
  </si>
  <si>
    <t xml:space="preserve">Idempotency middleware</t>
  </si>
  <si>
    <t xml:space="preserve">L1</t>
  </si>
  <si>
    <t xml:space="preserve">SP-00</t>
  </si>
  <si>
    <t xml:space="preserve">Yes</t>
  </si>
  <si>
    <t xml:space="preserve">BE-C04</t>
  </si>
  <si>
    <t xml:space="preserve">Immutable audit log</t>
  </si>
  <si>
    <t xml:space="preserve">BE-C06</t>
  </si>
  <si>
    <t xml:space="preserve">Money value object and integer columns</t>
  </si>
  <si>
    <t xml:space="preserve">Rep registration with channel invite</t>
  </si>
  <si>
    <t xml:space="preserve">SP-04</t>
  </si>
  <si>
    <t xml:space="preserve">BE-T08</t>
  </si>
  <si>
    <t xml:space="preserve">Coverage and overlap detection</t>
  </si>
  <si>
    <t xml:space="preserve">BE-T09</t>
  </si>
  <si>
    <t xml:space="preserve">Channel warehouses (read)</t>
  </si>
  <si>
    <t xml:space="preserve">BE2-CAT03</t>
  </si>
  <si>
    <t xml:space="preserve">Products</t>
  </si>
  <si>
    <t xml:space="preserve">L2</t>
  </si>
  <si>
    <t xml:space="preserve">SP-05</t>
  </si>
  <si>
    <t xml:space="preserve">Retailer and rep catalog read API</t>
  </si>
  <si>
    <t xml:space="preserve">SP-06</t>
  </si>
  <si>
    <t xml:space="preserve">BE2-ORD01</t>
  </si>
  <si>
    <t xml:space="preserve">Cart model</t>
  </si>
  <si>
    <t xml:space="preserve">SP-07</t>
  </si>
  <si>
    <t xml:space="preserve">BE2-ORD04</t>
  </si>
  <si>
    <t xml:space="preserve">Sub-order state machine</t>
  </si>
  <si>
    <t xml:space="preserve">SP-08</t>
  </si>
  <si>
    <t xml:space="preserve">BE2-ORD06</t>
  </si>
  <si>
    <t xml:space="preserve">Bulk confirm, reject and schedule</t>
  </si>
  <si>
    <t xml:space="preserve">L3</t>
  </si>
  <si>
    <t xml:space="preserve">No</t>
  </si>
  <si>
    <t xml:space="preserve">RP-08</t>
  </si>
  <si>
    <t xml:space="preserve">Waiting and empty home</t>
  </si>
  <si>
    <t xml:space="preserve">SP-01</t>
  </si>
  <si>
    <t xml:space="preserve">WH-04</t>
  </si>
  <si>
    <t xml:space="preserve">Empty floor home</t>
  </si>
  <si>
    <t xml:space="preserve">Rule</t>
  </si>
  <si>
    <t xml:space="preserve">Statement</t>
  </si>
  <si>
    <t xml:space="preserve">Owning module</t>
  </si>
  <si>
    <t xml:space="preserve">Enforcing issue</t>
  </si>
  <si>
    <t xml:space="preserve">In this layer</t>
  </si>
  <si>
    <t xml:space="preserve">BR-01</t>
  </si>
  <si>
    <t xml:space="preserve">A multi-channel order is split automatically at submission into independent sub-orders, each with its own number, invoice, route and rep.</t>
  </si>
  <si>
    <t xml:space="preserve">BE2-ORD03</t>
  </si>
  <si>
    <t xml:space="preserve">BR-02</t>
  </si>
  <si>
    <t xml:space="preserve">The supply channel name is not disclosed to the retailer before the sub-order is confirmed.</t>
  </si>
  <si>
    <t xml:space="preserve">Ordering / Core</t>
  </si>
  <si>
    <t xml:space="preserve">BE2-ORD08 · BE2-ORD02</t>
  </si>
  <si>
    <t xml:space="preserve">BR-03</t>
  </si>
  <si>
    <t xml:space="preserve">The rep name and phone are not disclosed before the order reaches on_the_way.</t>
  </si>
  <si>
    <t xml:space="preserve">BE2-ORD08 · FE3-RT01</t>
  </si>
  <si>
    <t xml:space="preserve">BR-04</t>
  </si>
  <si>
    <t xml:space="preserve">The price is frozen on the order at submission and is unaffected by any later price-list change.</t>
  </si>
  <si>
    <t xml:space="preserve">Pricing</t>
  </si>
  <si>
    <t xml:space="preserve">BE2-PRC05</t>
  </si>
  <si>
    <t xml:space="preserve">BR-05</t>
  </si>
  <si>
    <t xml:space="preserve">Stock reservation starts at confirmation; the actual deduction happens at handover to the rep.</t>
  </si>
  <si>
    <t xml:space="preserve">BR-06</t>
  </si>
  <si>
    <t xml:space="preserve">Cancellation by the retailer is permitted in the pending state only.</t>
  </si>
  <si>
    <t xml:space="preserve">BR-07</t>
  </si>
  <si>
    <t xml:space="preserve">The cart is emptied automatically after a successful submission and held locally before it.</t>
  </si>
  <si>
    <t xml:space="preserve">BE2-ORD01 · FE2-RT11</t>
  </si>
  <si>
    <t xml:space="preserve">BR-08</t>
  </si>
  <si>
    <t xml:space="preserve">A composite offer is indivisible on add, remove and return.</t>
  </si>
  <si>
    <t xml:space="preserve">Promotion</t>
  </si>
  <si>
    <t xml:space="preserve">BE2-PRM04</t>
  </si>
  <si>
    <t xml:space="preserve">BR-09</t>
  </si>
  <si>
    <t xml:space="preserve">An invoice discount applies only to the portion of the multi-channel order belonging to that channel.</t>
  </si>
  <si>
    <t xml:space="preserve">Promotion / Finance</t>
  </si>
  <si>
    <t xml:space="preserve">BE2-PRM01</t>
  </si>
  <si>
    <t xml:space="preserve">BR-10</t>
  </si>
  <si>
    <t xml:space="preserve">A posted invoice cannot be edited; corrections are made by a linked credit or debit note.</t>
  </si>
  <si>
    <t xml:space="preserve">BR-11</t>
  </si>
  <si>
    <t xml:space="preserve">Every payment is documented by a unique receipt number shared between the rep and retailer apps to prevent double entry.</t>
  </si>
  <si>
    <t xml:space="preserve">Finance / Core</t>
  </si>
  <si>
    <t xml:space="preserve">BR-12</t>
  </si>
  <si>
    <t xml:space="preserve">A rep may not exceed the discount cap or the cash-collection cap set for them.</t>
  </si>
  <si>
    <t xml:space="preserve">Delivery / Finance</t>
  </si>
  <si>
    <t xml:space="preserve">BE2-PRC04 · BE3-FIN04</t>
  </si>
  <si>
    <t xml:space="preserve">BR-13</t>
  </si>
  <si>
    <t xml:space="preserve">An accepted return re-enters stock according to the warehouse inspection, not the requester claim.</t>
  </si>
  <si>
    <t xml:space="preserve">Returns / Inventory</t>
  </si>
  <si>
    <t xml:space="preserve">BE3-RET02 · BE3-RET03</t>
  </si>
  <si>
    <t xml:space="preserve">BR-14</t>
  </si>
  <si>
    <t xml:space="preserve">The retailer sees a logical availability state and never the numeric stock quantity.</t>
  </si>
  <si>
    <t xml:space="preserve">Inventory / Catalog</t>
  </si>
  <si>
    <t xml:space="preserve">BR-15</t>
  </si>
  <si>
    <t xml:space="preserve">Products, prices and offers are always filtered by three criteria together: zone, activity type and retailer group.</t>
  </si>
  <si>
    <t xml:space="preserve">Catalog / Pricing</t>
  </si>
  <si>
    <t xml:space="preserve">BE2-CAT03 · BE2-CAT07</t>
  </si>
  <si>
    <t xml:space="preserve">BR-16</t>
  </si>
  <si>
    <t xml:space="preserve">Every operation that changes financial or inventory data is written to the audit log and is never hard deleted.</t>
  </si>
  <si>
    <t xml:space="preserve">Core</t>
  </si>
  <si>
    <t xml:space="preserve">BE-C04 (L1)</t>
  </si>
  <si>
    <t xml:space="preserve">BR-17</t>
  </si>
  <si>
    <t xml:space="preserve">A read notification is hidden from the counter but is not deleted from the log.</t>
  </si>
  <si>
    <t xml:space="preserve">Notification</t>
  </si>
  <si>
    <t xml:space="preserve">BE4-NTF01</t>
  </si>
  <si>
    <t xml:space="preserve">BR-18</t>
  </si>
  <si>
    <t xml:space="preserve">Date and time are presented in Arabic format in local Damascus time across every interface.</t>
  </si>
  <si>
    <t xml:space="preserve">BE-C01 (L1)</t>
  </si>
  <si>
    <t xml:space="preserve">BR-19</t>
  </si>
  <si>
    <t xml:space="preserve">An order may not be assigned to a rep who is off duty or outside their zones.</t>
  </si>
  <si>
    <t xml:space="preserve">Ordering / Delivery</t>
  </si>
  <si>
    <t xml:space="preserve">BR-20</t>
  </si>
  <si>
    <t xml:space="preserve">An offer that expires or runs out of quota is removed from unsent carts with a notice before confirmation.</t>
  </si>
  <si>
    <t xml:space="preserve">REQ-IN-01</t>
  </si>
  <si>
    <t xml:space="preserve">The receipt number is generated by one side and read by the other; two payments with the same number are never accepted, even across repeated sync.</t>
  </si>
  <si>
    <t xml:space="preserve">Core / Finance</t>
  </si>
  <si>
    <t xml:space="preserve">BE-C03 (L1) · BE3-FIN02</t>
  </si>
  <si>
    <t xml:space="preserve">REQ-IN-02</t>
  </si>
  <si>
    <t xml:space="preserve">Handover requires dual confirmation: stock is not deducted and the state does not move to on_the_way on one confirmation alone.</t>
  </si>
  <si>
    <t xml:space="preserve">REQ-IN-03</t>
  </si>
  <si>
    <t xml:space="preserve">An assigned order appears in the rep accept queue; rejection returns it to unassigned with a reason and an immediate channel alert.</t>
  </si>
  <si>
    <t xml:space="preserve">REQ-IN-04</t>
  </si>
  <si>
    <t xml:space="preserve">A return may be raised by either app, decided only by the channel, and its physical condition is determined by the warehouse.</t>
  </si>
  <si>
    <t xml:space="preserve">BE3-RET01 · FE3-CH05</t>
  </si>
  <si>
    <t xml:space="preserve">REQ-IN-05</t>
  </si>
  <si>
    <t xml:space="preserve">Both parties see the same delivery line list and any quantity edit changes the invoice amount for both.</t>
  </si>
  <si>
    <t xml:space="preserve">REQ-IN-06</t>
  </si>
  <si>
    <t xml:space="preserve">Channel and rep identity are withheld at the data layer, not at the presentation layer.</t>
  </si>
  <si>
    <t xml:space="preserve">Core / Tenancy</t>
  </si>
  <si>
    <t xml:space="preserve">BE-T02 (L1) · BE2-ORD08</t>
  </si>
  <si>
    <t xml:space="preserve">REQ-IN-07</t>
  </si>
  <si>
    <t xml:space="preserve">Pricing is computed on the server only; no local pricing logic is permitted beyond a clearly marked temporary estimate.</t>
  </si>
  <si>
    <t xml:space="preserve">BE2-PRC03</t>
  </si>
  <si>
    <t xml:space="preserve">REQ-IN-08</t>
  </si>
  <si>
    <t xml:space="preserve">The multi-channel split happens on the server at submission; the retailer sees one order and each channel sees only its part.</t>
  </si>
  <si>
    <t xml:space="preserve">Code</t>
  </si>
  <si>
    <t xml:space="preserve">Criterion</t>
  </si>
  <si>
    <t xml:space="preserve">How it is measured</t>
  </si>
  <si>
    <t xml:space="preserve">Satisfied by</t>
  </si>
  <si>
    <t xml:space="preserve">AC-01</t>
  </si>
  <si>
    <t xml:space="preserve">A new user completes registration in under sixty seconds.</t>
  </si>
  <si>
    <t xml:space="preserve">Timed with five real users who have never seen the app.</t>
  </si>
  <si>
    <t xml:space="preserve">RT-18 · RP-10 (L1) · BE4-HRD03</t>
  </si>
  <si>
    <t xml:space="preserve">AC-02</t>
  </si>
  <si>
    <t xml:space="preserve">A retailer submits an order in three to four taps.</t>
  </si>
  <si>
    <t xml:space="preserve">Tap count from home to the success screen.</t>
  </si>
  <si>
    <t xml:space="preserve">FE2-RT03 · FE2-RT11 · BE4-HRD03</t>
  </si>
  <si>
    <t xml:space="preserve">AC-03</t>
  </si>
  <si>
    <t xml:space="preserve">A rep captures an order in under thirty seconds.</t>
  </si>
  <si>
    <t xml:space="preserve">Timed in the field with real reps inside real shops.</t>
  </si>
  <si>
    <t xml:space="preserve">FE3-RP02 · FE4-QA01</t>
  </si>
  <si>
    <t xml:space="preserve">AC-04</t>
  </si>
  <si>
    <t xml:space="preserve">Value is understood within ten seconds.</t>
  </si>
  <si>
    <t xml:space="preserve">Ask a retailer what they understood from this screen.</t>
  </si>
  <si>
    <t xml:space="preserve">FE2-RT01 · FE4-QA01</t>
  </si>
  <si>
    <t xml:space="preserve">AC-05</t>
  </si>
  <si>
    <t xml:space="preserve">Zero lost or duplicated operations after sync.</t>
  </si>
  <si>
    <t xml:space="preserve">A full working day offline with deliberate interruptions and resends.</t>
  </si>
  <si>
    <t xml:space="preserve">BE3-SYN01 · BE3-SYN03 · FE3-RT06 · FE3-RT07</t>
  </si>
  <si>
    <t xml:space="preserve">AC-06</t>
  </si>
  <si>
    <t xml:space="preserve">The rep wallet equals collections minus settlements at any instant.</t>
  </si>
  <si>
    <t xml:space="preserve">Reconciliation against the wallet ledger.</t>
  </si>
  <si>
    <t xml:space="preserve">BE3-FIN04 · FE3-RP10</t>
  </si>
  <si>
    <t xml:space="preserve">AC-07</t>
  </si>
  <si>
    <t xml:space="preserve">The retailer statement equals invoices minus payments minus returns.</t>
  </si>
  <si>
    <t xml:space="preserve">Reconciliation against the finance ledger.</t>
  </si>
  <si>
    <t xml:space="preserve">BE3-FIN03 · FE3-RT05</t>
  </si>
  <si>
    <t xml:space="preserve">AC-08</t>
  </si>
  <si>
    <t xml:space="preserve">The channel identity cannot be revealed before confirmation, nor the rep before departure.</t>
  </si>
  <si>
    <t xml:space="preserve">Inspect the API responses directly, not the UI.</t>
  </si>
  <si>
    <t xml:space="preserve">BE2-ORD08 · BE4-HRD02</t>
  </si>
  <si>
    <t xml:space="preserve">AC-09</t>
  </si>
  <si>
    <t xml:space="preserve">Conditional offers compute correctly.</t>
  </si>
  <si>
    <t xml:space="preserve">Every offer type tested in the cart and on the final invoice.</t>
  </si>
  <si>
    <t xml:space="preserve">BE2-PRM03 · FE2-CH06</t>
  </si>
  <si>
    <t xml:space="preserve">AC-10</t>
  </si>
  <si>
    <t xml:space="preserve">Acceptable performance on a weak device.</t>
  </si>
  <si>
    <t xml:space="preserve">Startup and home load on 2GB RAM over 3G.</t>
  </si>
  <si>
    <t xml:space="preserve">BE2-CAT05 · BE4-HRD01 · FE4-QA01</t>
  </si>
  <si>
    <t xml:space="preserve">Module</t>
  </si>
  <si>
    <t xml:space="preserve">Table</t>
  </si>
  <si>
    <t xml:space="preserve">Created by issue</t>
  </si>
  <si>
    <t xml:space="preserve">deliveries</t>
  </si>
  <si>
    <t xml:space="preserve">delivery_lines</t>
  </si>
  <si>
    <t xml:space="preserve">rep_locations</t>
  </si>
  <si>
    <t xml:space="preserve">rep_shifts</t>
  </si>
  <si>
    <t xml:space="preserve">invoice_lines</t>
  </si>
  <si>
    <t xml:space="preserve">invoices</t>
  </si>
  <si>
    <t xml:space="preserve">payments</t>
  </si>
  <si>
    <t xml:space="preserve">receipts</t>
  </si>
  <si>
    <t xml:space="preserve">rep_wallets</t>
  </si>
  <si>
    <t xml:space="preserve">wallet_transactions</t>
  </si>
  <si>
    <t xml:space="preserve">handover_confirmations</t>
  </si>
  <si>
    <t xml:space="preserve">handovers</t>
  </si>
  <si>
    <t xml:space="preserve">picking_lines</t>
  </si>
  <si>
    <t xml:space="preserve">picking_lists</t>
  </si>
  <si>
    <t xml:space="preserve">stock_levels</t>
  </si>
  <si>
    <t xml:space="preserve">warehouses</t>
  </si>
  <si>
    <t xml:space="preserve">return_lines</t>
  </si>
  <si>
    <t xml:space="preserve">return_requests</t>
  </si>
  <si>
    <t xml:space="preserve">Event</t>
  </si>
  <si>
    <t xml:space="preserve">Emitted by</t>
  </si>
  <si>
    <t xml:space="preserve">Listened to by</t>
  </si>
  <si>
    <t xml:space="preserve">Effect</t>
  </si>
  <si>
    <t xml:space="preserve">Delivered in</t>
  </si>
  <si>
    <t xml:space="preserve">Issue</t>
  </si>
  <si>
    <t xml:space="preserve">ChannelStatusChanged</t>
  </si>
  <si>
    <t xml:space="preserve">Tenancy</t>
  </si>
  <si>
    <t xml:space="preserve">Ordering, Notification, Reporting</t>
  </si>
  <si>
    <t xml:space="preserve">Freezes new orders only (BR-AD-14)</t>
  </si>
  <si>
    <t xml:space="preserve">BE-T01 (L1)</t>
  </si>
  <si>
    <t xml:space="preserve">ReferenceDisabled</t>
  </si>
  <si>
    <t xml:space="preserve">Reference</t>
  </si>
  <si>
    <t xml:space="preserve">Catalog, Tenancy, Ordering</t>
  </si>
  <si>
    <t xml:space="preserve">Blocks new use without touching existing records</t>
  </si>
  <si>
    <t xml:space="preserve">BE-R01 (L1)</t>
  </si>
  <si>
    <t xml:space="preserve">OrderSubmitted</t>
  </si>
  <si>
    <t xml:space="preserve">Inventory, Notification, Reporting</t>
  </si>
  <si>
    <t xml:space="preserve">No reservation yet — channel notification only</t>
  </si>
  <si>
    <t xml:space="preserve">Layer 2</t>
  </si>
  <si>
    <t xml:space="preserve">SubOrderConfirmed</t>
  </si>
  <si>
    <t xml:space="preserve">Inventory, Fulfillment, Notification</t>
  </si>
  <si>
    <t xml:space="preserve">Reserve stock and create the picking list (BR-05)</t>
  </si>
  <si>
    <t xml:space="preserve">Inventory, Ordering, Notification</t>
  </si>
  <si>
    <t xml:space="preserve">Actual stock deduction and the on_the_way state</t>
  </si>
  <si>
    <t xml:space="preserve">Layer 3</t>
  </si>
  <si>
    <t xml:space="preserve">Finance, Loyalty, Notification</t>
  </si>
  <si>
    <t xml:space="preserve">Generate the invoice, create the receivable, award points</t>
  </si>
  <si>
    <t xml:space="preserve">Finance/Wallet, Notification, Reporting</t>
  </si>
  <si>
    <t xml:space="preserve">Increase the rep wallet and reduce the retailer receivable</t>
  </si>
  <si>
    <t xml:space="preserve">Finance, Inventory</t>
  </si>
  <si>
    <t xml:space="preserve">Credit note plus stock return according to condition</t>
  </si>
  <si>
    <t xml:space="preserve">PriceListChanged</t>
  </si>
  <si>
    <t xml:space="preserve">Sync, Reporting</t>
  </si>
  <si>
    <t xml:space="preserve">Marks data for differential sync; never touches a live order</t>
  </si>
  <si>
    <t xml:space="preserve">BE2-PRC01</t>
  </si>
  <si>
    <t xml:space="preserve">#</t>
  </si>
  <si>
    <t xml:space="preserve">Risk</t>
  </si>
  <si>
    <t xml:space="preserve">Impact</t>
  </si>
  <si>
    <t xml:space="preserve">Consequence</t>
  </si>
  <si>
    <t xml:space="preserve">Mitigation</t>
  </si>
  <si>
    <t xml:space="preserve">Owning issue</t>
  </si>
  <si>
    <t xml:space="preserve">Reps reject the app fearing it will replace them.</t>
  </si>
  <si>
    <t xml:space="preserve">Critical</t>
  </si>
  <si>
    <t xml:space="preserve">The whole system stops, because the rep is the only execution link.</t>
  </si>
  <si>
    <t xml:space="preserve">Involve real reps in design early and lead with what is theirs: wallet, points, ratings, less paperwork.</t>
  </si>
  <si>
    <t xml:space="preserve">FE3-RP10 · FE4-RP02</t>
  </si>
  <si>
    <t xml:space="preserve">Financial operations lost during sync.</t>
  </si>
  <si>
    <t xml:space="preserve">Money that cannot be reconciled and trust that cannot be recovered.</t>
  </si>
  <si>
    <t xml:space="preserve">A unique identifier per operation, no outbox deletion before server confirmation, deliberate interruption testing.</t>
  </si>
  <si>
    <t xml:space="preserve">BE3-SYN01 · BE3-SYN03 · FE3-RT07</t>
  </si>
  <si>
    <t xml:space="preserve">Weak retailer adoption from unfamiliarity with technology.</t>
  </si>
  <si>
    <t xml:space="preserve">The catalog exists and nobody orders from it.</t>
  </si>
  <si>
    <t xml:space="preserve">The three-tap rule, repeated testing with real retailers, and keeping the rep as an alternative input channel.</t>
  </si>
  <si>
    <t xml:space="preserve">FE2-RT03 · FE3-RP02</t>
  </si>
  <si>
    <t xml:space="preserve">The order capture screen grows until it breaks the thirty-second rule.</t>
  </si>
  <si>
    <t xml:space="preserve">The rep abandons the app and returns to paper.</t>
  </si>
  <si>
    <t xml:space="preserve">Measure the time every sprint, not at the end, and refuse any addition that increases it.</t>
  </si>
  <si>
    <t xml:space="preserve">Users refuse device permissions.</t>
  </si>
  <si>
    <t xml:space="preserve">Location, camera and notification features degrade.</t>
  </si>
  <si>
    <t xml:space="preserve">Request each permission in context with a one-line reason, and provide a manual alternative for every dependent feature.</t>
  </si>
  <si>
    <t xml:space="preserve">FE3-RP09 · FE2-RT01</t>
  </si>
  <si>
    <t xml:space="preserve">High battery consumption on the rep device.</t>
  </si>
  <si>
    <t xml:space="preserve">The phone dies mid-round and the round is lost.</t>
  </si>
  <si>
    <t xml:space="preserve">Reduce location pings while stationary, batch uploads, measure consumption in field testing.</t>
  </si>
  <si>
    <t xml:space="preserve">BE3-DLV04 · FE4-QA01</t>
  </si>
  <si>
    <t xml:space="preserve">Stock and accounting diverge after returns.</t>
  </si>
  <si>
    <t xml:space="preserve">The closing balance stops reconciling and nobody can say why.</t>
  </si>
  <si>
    <t xml:space="preserve">Every return links to its financial document; restocking follows the warehouse inspection.</t>
  </si>
  <si>
    <t xml:space="preserve">Issues start before their endpoints exist in the API catalog.</t>
  </si>
  <si>
    <t xml:space="preserve">The exact failure Layer 1 was designed to prevent: screens built against invented contracts.</t>
  </si>
  <si>
    <t xml:space="preserve">The Contract column stays Proposed until the catalog is published; no issue is pulled while it reads Proposed.</t>
  </si>
  <si>
    <t xml:space="preserve">Every issue in this workbook</t>
  </si>
  <si>
    <t xml:space="preserve">Issue ID</t>
  </si>
  <si>
    <t xml:space="preserve">Issue Key</t>
  </si>
  <si>
    <t xml:space="preserve">Issue Type</t>
  </si>
  <si>
    <t xml:space="preserve">Summary</t>
  </si>
  <si>
    <t xml:space="preserve">Description</t>
  </si>
  <si>
    <t xml:space="preserve">Component/s</t>
  </si>
  <si>
    <t xml:space="preserve">Story Points</t>
  </si>
  <si>
    <t xml:space="preserve">Epic Name</t>
  </si>
  <si>
    <t xml:space="preserve">Epic Link</t>
  </si>
  <si>
    <t xml:space="preserve">Fix Version/s</t>
  </si>
  <si>
    <t xml:space="preserve">Labels</t>
  </si>
  <si>
    <t xml:space="preserve">Blocked By</t>
  </si>
  <si>
    <t xml:space="preserve">EP-L3-INV — Inventory</t>
  </si>
  <si>
    <t xml:space="preserve">*Layer:* L3
*Covers:* Warehouses, four balance states, reservation, movements, lots, stocktakes
*Volume:* 6 issues / 34 points</t>
  </si>
  <si>
    <t xml:space="preserve">l3</t>
  </si>
  <si>
    <t xml:space="preserve">l3 epic</t>
  </si>
  <si>
    <t xml:space="preserve">EP-L3-FUL — Fulfillment</t>
  </si>
  <si>
    <t xml:space="preserve">*Layer:* L3
*Covers:* Picking, packing, dual-confirmed handover, inbound receipt
*Volume:* 6 issues / 36 points</t>
  </si>
  <si>
    <t xml:space="preserve">EP-L3-DLV — Delivery</t>
  </si>
  <si>
    <t xml:space="preserve">*Layer:* L3
*Covers:* Assignment, acceptance, delivery, line matching, tracking
*Volume:* 6 issues / 36 points</t>
  </si>
  <si>
    <t xml:space="preserve">EP-L3-RET — Returns</t>
  </si>
  <si>
    <t xml:space="preserve">*Layer:* L3
*Covers:* Return and exchange from both apps, channel decision, warehouse sorting
*Volume:* 4 issues / 21 points</t>
  </si>
  <si>
    <t xml:space="preserve">EP-L3-FIN — Finance</t>
  </si>
  <si>
    <t xml:space="preserve">*Layer:* L3
*Covers:* Invoices, payments, receivables, rep wallets, settlements, ageing
*Volume:* 6 issues / 39 points</t>
  </si>
  <si>
    <t xml:space="preserve">EP-L3-SYN — Offline sync</t>
  </si>
  <si>
    <t xml:space="preserve">*Layer:* L3
*Covers:* Outbox intake, deduplication, differential sync, conflict resolution
*Volume:* 4 issues / 24 points</t>
  </si>
  <si>
    <t xml:space="preserve">EP-L3-FE-RP — Rep app operations</t>
  </si>
  <si>
    <t xml:space="preserve">*Layer:* L3
*Covers:* Order capture, delivery, collection, warehouse receipt, customers, wallet
*Volume:* 10 issues / 58 points</t>
  </si>
  <si>
    <t xml:space="preserve">EP-L3-FE-WH — Warehouse console</t>
  </si>
  <si>
    <t xml:space="preserve">*Layer:* L3
*Covers:* Work queues, picking, packing, handover, inbound, returns, stocktake
*Volume:* 7 issues / 41 points</t>
  </si>
  <si>
    <t xml:space="preserve">EP-L3-FE-RT — Retailer receipt and tracking</t>
  </si>
  <si>
    <t xml:space="preserve">*Layer:* L3
*Covers:* Tracking, receipt, returns, statement, payment recording
*Volume:* 7 issues / 40 points</t>
  </si>
  <si>
    <t xml:space="preserve">EP-L3-FE-CH — Channel operations console</t>
  </si>
  <si>
    <t xml:space="preserve">*Layer:* L3
*Covers:* Inventory, assignment, reps, retailers, returns, finance
*Volume:* 6 issues / 42 points</t>
  </si>
  <si>
    <t xml:space="preserve">Story</t>
  </si>
  <si>
    <t xml:space="preserve">BE3-INV01 — Warehouses and stock balances</t>
  </si>
  <si>
    <t xml:space="preserve">*Side:* Backend    *Unit:* Inventory    *Sprint:* SP-09
*Contract status:* Proposed — endpoints must be fixed in the API catalog before this issue is pulled.
*Tables:* warehouses, stock_levels
h3. Requirements
# Multiple warehouses per channel with a default warehouse per zone.
# Four balance states per item and variant per warehouse: available, reserved for confirmed orders, in transit with a rep, damaged or quarantined.
# The retailer is served a logical availability state only, never a number (BR-14).
h3. Acceptance criteria
* (/) The four states always sum to the physical balance.
* (/) No API path returns a numeric quantity to a retailer token.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</si>
  <si>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backend, sp-09</t>
  </si>
  <si>
    <t xml:space="preserve">BE3-INV02 — Reservation and deduction lifecycle</t>
  </si>
  <si>
    <t xml:space="preserve">*Side:* Backend    *Unit:* Inventory    *Sprint:* SP-09
*Contract status:* Proposed — endpoints must be fixed in the API catalog before this issue is pulled.
*Tables:* reservations
*Events:* SubOrderConfirmed, HandoverCompleted
h3. Requirements
# Reservation starts at confirmation, not before, and is released automatically on cancellation or expiry (BR-05).
# Actual deduction happens at handover to the rep, not at picking (BR-05).
# Reservation and release are transactional and cannot double-reserve under concurrency.
h3. Acceptance criteria
* (/) Two confirmations racing for the last unit produce one success and one clear failure.
* (/) An expired reservation returns the stock without manual intervention.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</si>
  <si>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11</t>
  </si>
  <si>
    <t xml:space="preserve">BE3-INV03 — Immutable movement ledger</t>
  </si>
  <si>
    <t xml:space="preserve">*Side:* Backend    *Unit:* Inventory    *Sprint:* SP-09
*Contract status:* Proposed — endpoints must be fixed in the API catalog before this issue is pulled.
*Tables:* stock_movements
h3. Requirements
# Every movement records type, item, quantity, balance before and after, source document, user and time.
# The ledger is append only; corrections are new movements, never edits.
h3. Acceptance criteria
* (/) Closing balance always equals opening plus inbound minus delivered plus sound returns (DOC-01 §8).
* (/) No update or delete path exists on the ledger.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</si>
  <si>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BE3-INV04 — Reorder thresholds and alerts</t>
  </si>
  <si>
    <t xml:space="preserve">*Side:* Backend    *Unit:* Inventory    *Sprint:* SP-09
*Contract status:* Proposed — endpoints must be fixed in the API catalog before this issue is pulled.
h3. Requirements
# A reorder point per item with an alert to the channel dashboard and a notification to the owner.
# Flag items at or below threshold that still carry open orders.
h3. Acceptance criteria
* (/) An item crossing its threshold raises exactly one alert, not one per movement.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</si>
  <si>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BE3-INV05 — Lots, expiry and FEFO</t>
  </si>
  <si>
    <t xml:space="preserve">*Side:* Backend    *Unit:* Inventory    *Sprint:* SP-09
*Contract status:* Proposed — endpoints must be fixed in the API catalog before this issue is pulled.
*Tables:* lots
h3. Requirements
# Lot number and expiry date for items that require them, with a near-expiry alert.
# FEFO issue policy applied at picking suggestion.
h3. Acceptance criteria
* (/) A picking suggestion never proposes a later-expiring lot before an earlier one.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</si>
  <si>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13</t>
  </si>
  <si>
    <t xml:space="preserve">BE3-INV06 — Transfers and stocktakes</t>
  </si>
  <si>
    <t xml:space="preserve">*Side:* Backend    *Unit:* Inventory    *Sprint:* SP-09
*Contract status:* Proposed — endpoints must be fixed in the API catalog before this issue is pulled.
*Tables:* stocktakes
h3. Requirements
# Inter-warehouse transfer as a document passing through sent and received states.
# Stocktake types: full scheduled, cycle count, single item on suspicion.
# Actual quantity entered without showing the book quantity, as a switchable option, to avoid bias.
# A variance report requires a higher approval before balances are adjusted.
h3. Acceptance criteria
* (/) A variance adjustment without approval is impossible.
* (/) Items under stocktake are frozen for movement.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</si>
  <si>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BE3-FUL01 — Picking lists</t>
  </si>
  <si>
    <t xml:space="preserve">*Side:* Backend    *Unit:* Fulfillment    *Sprint:* SP-10
*Contract status:* Proposed — endpoints must be fixed in the API catalog before this issue is pulled.
*Tables:* picking_lists, picking_lines
h3. Requirements
# A picking list is generated automatically on sub-order confirmation.
# Lines are ordered by the optimal picking path using aisle and shelf location.
# Scan confirmation increments the picked counter; manual entry is allowed but recorded as manual.
# Scanning a barcode not on the list is refused with an audible and visual warning.
h3. Acceptance criteria
* (/) A wrong scan cannot be accepted by any interaction.
* (/) The list order minimises walking distance measurably against unordered picking.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</si>
  <si>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backend, sp-10</t>
  </si>
  <si>
    <t xml:space="preserve">12</t>
  </si>
  <si>
    <t xml:space="preserve">BE3-FUL02 — Shortage handling during picking</t>
  </si>
  <si>
    <t xml:space="preserve">*Side:* Backend    *Unit:* Fulfillment    *Sprint:* SP-10
*Contract status:* Proposed — endpoints must be fixed in the API catalog before this issue is pulled.
h3. Requirements
# Record the actually available quantity with a reason: out of stock, damaged, not at location.
# Immediate alert to sales for a decision: partial fulfilment, substitute item, or postpone.
# Substitute suggestions are proposed by the warehouse but approved only by sales.
h3. Acceptance criteria
* (/) A substitution never takes effect on warehouse authority alone.
* (/) The retailer sees the amended invoice amount, not a silent short delivery.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</si>
  <si>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17</t>
  </si>
  <si>
    <t xml:space="preserve">BE3-FUL03 — Packing and quality check</t>
  </si>
  <si>
    <t xml:space="preserve">*Side:* Backend    *Unit:* Fulfillment    *Sprint:* SP-10
*Contract status:* Proposed — endpoints must be fixed in the API catalog before this issue is pulled.
*Tables:* packages
h3. Requirements
# Final rescan of every item against the order for a zero-error check.
# Record package count and total weight and print a label per package with order, shop, zone and QR.
# Flags for fragile and refrigerated items.
h3. Acceptance criteria
* (/) An item missed at packing blocks the ready state.
* (/) Every package carries a scannable label.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</si>
  <si>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BE3-FUL04 — Handover with dual confirmation</t>
  </si>
  <si>
    <t xml:space="preserve">*Side:* Backend    *Unit:* Fulfillment    *Sprint:* SP-10
*Contract status:* Proposed — endpoints must be fixed in the API catalog before this issue is pulled.
*Tables:* handovers, handover_confirmations
*Events:* HandoverCompleted
h3. Requirements
# The warehouse presses hand over and the rep presses receive; neither alone completes the operation (REQ-IN-02).
# Completion deducts stock physically, moves the sub-order to on_the_way and enables tracking for the retailer.
# If the rep device is offline, issue a temporary handover code that the rep scans later, leaving the state as awaiting rep confirmation.
# The whole effect runs in one transaction.
h3. Acceptance criteria
* (/) One-sided confirmation never deducts stock and never changes the state.
* (/) A temporary code is single use and expires.
* (/) Retailer tracking activates at the moment both sides confirm.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</si>
  <si>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19</t>
  </si>
  <si>
    <t xml:space="preserve">BE3-FUL05 — Rep end-of-day return</t>
  </si>
  <si>
    <t xml:space="preserve">*Side:* Backend    *Unit:* Fulfillment    *Sprint:* SP-10
*Contract status:* Proposed — endpoints must be fixed in the API catalog before this issue is pulled.
h3. Requirements
# Record undelivered orders, return their goods to stock and reconcile the rep custody to zero.
# Any discrepancy is recorded as a documented variance, never silently absorbed.
h3. Acceptance criteria
* (/) Rep custody reconciles to zero at end of day or the variance is explicit and attributed.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</si>
  <si>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20</t>
  </si>
  <si>
    <t xml:space="preserve">BE3-FUL06 — Inbound receipt</t>
  </si>
  <si>
    <t xml:space="preserve">*Side:* Backend    *Unit:* Fulfillment    *Sprint:* SP-10
*Contract status:* Proposed — endpoints must be fixed in the API catalog before this issue is pulled.
*Tables:* inbound_receipts
h3. Requirements
# Sources: purchase from a supplier, transfer from another warehouse, field returns.
# Match expected against actually received, record lot and expiry where required.
# Quality outcome: accept, partially reject or quarantine, with photographs of rejected items.
# Assign a storage location with an automatic suggestion based on history.
h3. Acceptance criteria
* (/) A receipt creates an inbound movement and updates the available balance immediately.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</si>
  <si>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BE3-DLV01 — Assignment engine</t>
  </si>
  <si>
    <t xml:space="preserve">*Side:* Backend    *Unit:* Ordering    *Sprint:* SP-11
*Contract status:* Proposed — endpoints must be fixed in the API catalog before this issue is pulled.
*Tables:* assignments
h3. Requirements
# Manual assignment showing each rep current load and today order count.
# Automatic assignment by zone with load cap and duty state respected.
# Bulk assignment of a whole zone to one rep in a single action.
# Assignment to an off-duty rep or outside their zones is refused (BR-19).
# Reassignment records a reason and is blocked after handover except through a warehouse return path.
h3. Acceptance criteria
* (/) An off-duty rep cannot receive an assignment through any path.
* (/) A rejected order returns to unassigned with a reason and an immediate alert to sales (REQ-IN-03).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</si>
  <si>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backend, sp-11</t>
  </si>
  <si>
    <t xml:space="preserve">BE3-DLV02 — Rep acceptance queue</t>
  </si>
  <si>
    <t xml:space="preserve">*Side:* Backend    *Unit:* Delivery    *Sprint:* SP-11
*Contract status:* Proposed — endpoints must be fixed in the API catalog before this issue is pulled.
h3. Requirements
# Assigned orders appear in the rep accept list grouped by zone.
# Acceptance moves the order to the delivery list and removes it from the accept list.
# Rejection returns it to unassigned with a mandatory reason.
h3. Acceptance criteria
* (/) Acceptance is reflected in the warehouse receipt screen immediately.
* (/) The decision survives an offline period and syncs without duplication.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</si>
  <si>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23</t>
  </si>
  <si>
    <t xml:space="preserve">BE3-DLV03 — Delivery execution and line matching</t>
  </si>
  <si>
    <t xml:space="preserve">*Side:* Backend    *Unit:* Delivery    *Sprint:* SP-11
*Contract status:* Proposed — endpoints must be fixed in the API catalog before this issue is pulled.
*Tables:* deliveries, delivery_lines
*Events:* DeliveryCompleted
h3. Requirements
# Both parties see the identical line list, and any quantity edit changes the invoice amount for both (REQ-IN-05).
# Per-line outcomes: received, quantity adjusted, return requested, exchange requested.
# Order outcomes: delivered, not delivered with a reason, postponed with a scheduled datetime and a reason.
# A postponement creates a scheduled order.
h3. Acceptance criteria
* (/) A quantity edit by the rep is visible to the retailer on the same invoice.
* (/) The final invoice equals the sum of the accepted lines exactly.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</si>
  <si>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BE3-DLV04 — Rep duty state and location</t>
  </si>
  <si>
    <t xml:space="preserve">*Side:* Backend    *Unit:* Delivery    *Sprint:* SP-11
*Contract status:* Proposed — endpoints must be fixed in the API catalog before this issue is pulled.
*Tables:* rep_locations, rep_shifts
h3. Requirements
# Location pings only while on duty and fully stopped otherwise (REQ-CM-054).
# Ping rate balances tracking accuracy against battery, with batching while stationary.
# Retailer-facing tracking is enabled only from on_the_way onward.
h3. Acceptance criteria
* (/) Going off duty stops every ping immediately, verified at the API level.
* (/) Battery consumption over a full working day stays within the agreed budget.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</si>
  <si>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24</t>
  </si>
  <si>
    <t xml:space="preserve">BE3-DLV05 — Scheduled orders</t>
  </si>
  <si>
    <t xml:space="preserve">*Side:* Backend    *Unit:* Delivery    *Sprint:* SP-11
*Contract status:* Proposed — endpoints must be fixed in the API catalog before this issue is pulled.
*Tables:* scheduled_orders
h3. Requirements
# Created from the channel dashboard or as the result of a rep postponement.
# A weekly and monthly calendar view of scheduled load per zone and per rep.
# A morning alert for unassigned scheduled orders.
h3. Acceptance criteria
* (/) A postponement in the rep app appears immediately in the channel calendar.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</si>
  <si>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25</t>
  </si>
  <si>
    <t xml:space="preserve">BE3-DLV06 — Rep customers and zones</t>
  </si>
  <si>
    <t xml:space="preserve">*Side:* Backend    *Unit:* Delivery    *Sprint:* SP-11
*Contract status:* Proposed — endpoints must be fixed in the API catalog before this issue is pulled.
h3. Requirements
# The rep sees their own shops plus shops that self-registered into their zones.
# Adding a shop from the field creates a valid retailer with location, activity, categories and equipment.
# Zone list with shop counts and drill-through.
h3. Acceptance criteria
* (/) A field-created shop appears immediately in the rep customer list and is a real retailer record.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</si>
  <si>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BE3-RET01 — Return and exchange requests</t>
  </si>
  <si>
    <t xml:space="preserve">*Side:* Backend    *Unit:* Returns    *Sprint:* SP-12
*Contract status:* Proposed — endpoints must be fixed in the API catalog before this issue is pulled.
*Tables:* return_requests, return_lines
h3. Requirements
# A request may originate from the retailer app or the rep app, with a mandatory reason and optional photographs.
# A unified decision inbox at the channel; the decision belongs to the channel alone (REQ-IN-04).
# An SLA timer on response with automatic escalation on breach.
h3. Acceptance criteria
* (/) Neither app can approve its own request.
* (/) A breached SLA escalates without human action.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</si>
  <si>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backend, sp-12</t>
  </si>
  <si>
    <t xml:space="preserve">BE3-RET02 — Decision effects</t>
  </si>
  <si>
    <t xml:space="preserve">*Side:* Backend    *Unit:* Returns    *Sprint:* SP-12
*Contract status:* Proposed — endpoints must be fixed in the API catalog before this issue is pulled.
*Tables:* return_decisions
*Events:* ReturnApproved
h3. Requirements
# Return accepted: mark the line returned, zero its value on the invoice, reduce the receivable, restock according to warehouse inspection (BR-13).
# Exchange accepted: mark the line exchanged, grey the price and exclude it financially until the exchange completes, then record the price.
# A line inside an offer zeroes the whole offer, never the line alone (BR-08).
h3. Acceptance criteria
* (/) Restocking follows the warehouse inspection, not the requester claim.
* (/) A returned offer line reverses the entire offer computation.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</si>
  <si>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29 33</t>
  </si>
  <si>
    <t xml:space="preserve">BE3-RET03 — Warehouse return sorting</t>
  </si>
  <si>
    <t xml:space="preserve">*Side:* Backend    *Unit:* Returns    *Sprint:* SP-12
*Contract status:* Proposed — endpoints must be fixed in the API catalog before this issue is pulled.
h3. Requirements
# Sort into resaleable, damaged or expired.
# Sound goods return to available; damaged goods move to damaged stock with a later disposal document.
# Every return links to its financial document to keep stock and accounting aligned.
h3. Acceptance criteria
* (/) A return with no linked credit note cannot be closed.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</si>
  <si>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30 22</t>
  </si>
  <si>
    <t xml:space="preserve">BE3-RET04 — Return reasons report</t>
  </si>
  <si>
    <t xml:space="preserve">*Side:* Backend    *Unit:* Returns    *Sprint:* SP-12
*Contract status:* Proposed — endpoints must be fixed in the API catalog before this issue is pulled.
h3. Requirements
# Reasons ranked by frequency and value, segmented by product, rep and zone.
h3. Acceptance criteria
* (/) Every figure traces to its underlying requests.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</si>
  <si>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30</t>
  </si>
  <si>
    <t xml:space="preserve">BE3-FIN01 — Invoices</t>
  </si>
  <si>
    <t xml:space="preserve">*Side:* Backend    *Unit:* Finance    *Sprint:* SP-13
*Contract status:* Proposed — endpoints must be fixed in the API catalog before this issue is pulled.
*Tables:* invoices, invoice_lines
h3. Requirements
# Generated from the sub-order and posted only after delivery and the settlement of shortages and returns.
# States: draft, posted, partially paid, fully paid, overdue, cancelled, amended by credit note.
# A posted invoice is immutable; corrections go through a linked credit or debit note (BR-10).
# PDF with the channel letterhead, exportable and deliverable inside the app.
h3. Acceptance criteria
* (/) No path edits a posted invoice.
* (/) The invoice total equals the accepted lines minus discounts and returns, to the smallest unit.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</si>
  <si>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backend, sp-13</t>
  </si>
  <si>
    <t xml:space="preserve">BE3-FIN02 — Payments with a unique receipt</t>
  </si>
  <si>
    <t xml:space="preserve">*Side:* Backend    *Unit:* Finance    *Sprint:* SP-13
*Contract status:* Proposed — endpoints must be fixed in the API catalog before this issue is pulled.
*Tables:* payments, receipts
*Events:* PaymentRecorded
h3. Requirements
# Sources: rep app, retailer app, or direct accountant entry.
# A payment is against a specific invoice or on account.
# The receipt number is generated by one side and read by the other; two payments with the same number are impossible even across repeated sync (REQ-IN-01, BR-11).
# Automatic allocation on account is oldest first, with manual reallocation available.
h3. Acceptance criteria
* (/) A duplicate receipt number is refused at the database level, not only in validation.
* (/) A payment updates the retailer receivable, the rep wallet and the channel ledger in one transaction.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</si>
  <si>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33</t>
  </si>
  <si>
    <t xml:space="preserve">BE3-FIN03 — Receivables and ageing</t>
  </si>
  <si>
    <t xml:space="preserve">*Side:* Backend    *Unit:* Finance    *Sprint:* SP-13
*Contract status:* Proposed — endpoints must be fixed in the API catalog before this issue is pulled.
*Tables:* receivables
h3. Requirements
# Live receivable per retailer per channel.
# Ageing buckets 0-30, 31-60, 61-90 and over 90 days, groupable by zone and by rep.
# Credit limit with a grace period and a configurable behaviour on breach: warn, block new orders, or require manual approval.
h3. Acceptance criteria
* (/) The retailer statement reconciles to invoices minus payments minus returns at any instant (AC-07).
* (/) A credit breach behaves exactly as configured, enforced server side.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</si>
  <si>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34</t>
  </si>
  <si>
    <t xml:space="preserve">BE3-FIN04 — Rep wallet</t>
  </si>
  <si>
    <t xml:space="preserve">*Side:* Backend    *Unit:* Finance    *Sprint:* SP-13
*Contract status:* Proposed — endpoints must be fixed in the API catalog before this issue is pulled.
*Tables:* rep_wallets, wallet_transactions
h3. Requirements
# The wallet equals collections minus amounts handed to the accountant, at any instant (AC-06).
# A withdrawal carries an amount and an operation number obtained from the accountant.
# A cash cap above which handover becomes mandatory, enforced by the server (BR-12).
# Every wallet movement is a ledger entry; the balance is never stored as a standalone editable number.
h3. Acceptance criteria
* (/) The wallet balance is recomputable from its transactions and always matches.
* (/) Exceeding the cash cap blocks further collection until settlement.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</si>
  <si>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BE3-FIN05 — Rep settlement</t>
  </si>
  <si>
    <t xml:space="preserve">*Side:* Backend    *Unit:* Finance    *Sprint:* SP-13
*Contract status:* Proposed — endpoints must be fixed in the API catalog before this issue is pulled.
*Tables:* settlements
h3. Requirements
# The accountant enters the handover operation number and amount; the wallet is reduced and a receipt voucher is printed.
# A settlement is an accounting document, not a status flag.
h3. Acceptance criteria
* (/) A settlement without a matching wallet movement cannot exist.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</si>
  <si>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36</t>
  </si>
  <si>
    <t xml:space="preserve">BE3-FIN06 — Statements and financial reports</t>
  </si>
  <si>
    <t xml:space="preserve">*Side:* Backend    *Unit:* Finance    *Sprint:* SP-13
*Contract status:* Proposed — endpoints must be fixed in the API catalog before this issue is pulled.
h3. Requirements
# Retailer statement between two dates with opening and closing balances, exportable as PDF.
# Daily collection per rep against target.
# Net sales after discounts and returns by product, brand, category, zone and rep.
h3. Acceptance criteria
* (/) Every report figure drills down to its source document (DOC-01 §7).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</si>
  <si>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35</t>
  </si>
  <si>
    <t xml:space="preserve">BE3-SYN01 — Outbox intake endpoint</t>
  </si>
  <si>
    <t xml:space="preserve">*Side:* Backend    *Unit:* Sync    *Sprint:* SP-12
*Contract status:* Proposed — endpoints must be fixed in the API catalog before this issue is pulled.
*Tables:* sync_operations
h3. Requirements
# A batch endpoint accepting an ordered set of operations and returning an independent result per operation.
# Every operation carries a device-generated client_uuid that makes retry safe.
# Runs on the critical queue and is never starved by reports.
h3. Acceptance criteria
* (/) Replaying a whole batch produces no duplicate of any operation (AC-05).
* (/) A failure on one operation does not reject the batch.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</si>
  <si>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BE3-SYN02 — Differential sync and cursors</t>
  </si>
  <si>
    <t xml:space="preserve">*Side:* Backend    *Unit:* Sync    *Sprint:* SP-12
*Contract status:* Proposed — endpoints must be fixed in the API catalog before this issue is pulled.
*Tables:* sync_cursors
h3. Requirements
# Only what changed is returned, never the whole catalog (REQ-CM-016).
# A cursor per dataset: catalog, prices, offers, customers, zones, orders.
# PriceListChanged and similar events mark data for the next differential pull.
h3. Acceptance criteria
* (/) A day of catalog changes transfers a fraction of a full catalog payload.
* (/) A device offline for a week catches up without downloading everything.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</si>
  <si>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BE3-SYN03 — Conflict resolution</t>
  </si>
  <si>
    <t xml:space="preserve">*Side:* Backend    *Unit:* Sync    *Sprint:* SP-12
*Contract status:* Proposed — endpoints must be fixed in the API catalog before this issue is pulled.
*Tables:* sync_conflicts
h3. Requirements
# The server is the source of truth for catalog, prices, offers and stock; the device never edits them (REQ-CM-017).
# An order created offline is always accepted and repriced on the server, with the difference reported (REQ-CM-018).
# Financial operations are never dropped from the outbox before the server confirms (REQ-CM-019).
h3. Acceptance criteria
* (/) A full working day offline with deliberate interruptions loses and duplicates nothing (AC-05).
* (/) A repriced offline order surfaces the delta to the user rather than silently changing.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</si>
  <si>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39</t>
  </si>
  <si>
    <t xml:space="preserve">BE3-SYN04 — Sync state and manual trigger</t>
  </si>
  <si>
    <t xml:space="preserve">*Side:* Backend    *Unit:* Sync    *Sprint:* SP-12
*Contract status:* Proposed — endpoints must be fixed in the API catalog before this issue is pulled.
h3. Requirements
# Expose per-device sync state so the apps can render the three-colour indicator.
# Support a manual sync trigger and report unsent operation counts.
h3. Acceptance criteria
* (/) The indicator state matches the server view of the device.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</si>
  <si>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40</t>
  </si>
  <si>
    <t xml:space="preserve">FE3-RP01 — Rep home with live counters</t>
  </si>
  <si>
    <t xml:space="preserve">*Side:* Frontend    *Unit:* Rep app    *Sprint:* SP-11
*Contract status:* Proposed — endpoints must be fixed in the API catalog before this issue is pulled.
h3. Requirements
# Header with greeting, date, notifications, connection state, manual sync, duty toggle and points bar.
# Six task buttons each with a live counter: capture order, deliver, collect payment, accept orders, scheduled, warehouse receipt.
# Three circles: products, customers, zones.
h3. Acceptance criteria
* (/) Counters render from cache offline with the last sync time shown.
* (/) The duty toggle stops location pings immediately when switched off.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</si>
  <si>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frontend, sp-11</t>
  </si>
  <si>
    <t xml:space="preserve">FE3-RP02 — Order capture flow</t>
  </si>
  <si>
    <t xml:space="preserve">*Side:* Frontend    *Unit:* Rep app    *Sprint:* SP-11
*Contract status:* Proposed — endpoints must be fixed in the API catalog before this issue is pulled.
h3. Requirements
# Zone, then shop, then product selection by search, categories, most ordered and offers.
# Variants bind independently with the requested count shown above each.
# A floating bar holds the selected products and offers, opened for review and edit before adding to the cart under the shop name.
# The whole flow works fully offline from the local catalog.
h3. Acceptance criteria
* (/) A complete order is captured in under thirty seconds with a real rep in a real shop (AC-03).
* (/) The flow completes with no connectivity and syncs without duplication.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</si>
  <si>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43</t>
  </si>
  <si>
    <t xml:space="preserve">FE3-RP03 — Delivery screen</t>
  </si>
  <si>
    <t xml:space="preserve">*Side:* Frontend    *Unit:* Rep app    *Sprint:* SP-11
*Contract status:* Proposed — endpoints must be fixed in the API catalog before this issue is pulled.
h3. Requirements
# Grouped by zone with total and delivered counts per zone.
# Cards with a green border carrying shop, zone, channel, invoice number and order datetime.
# Border colour by state: grey delivered, red cancelled or not delivered, blue postponed.
# Map view with estimated arrival.
h3. Acceptance criteria
* (/) Managing a round takes three taps: open zone, open card, confirm delivery.
* (/) Colours update instantly and remain correct after an app restart.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</si>
  <si>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FE3-RP04 — Delivery card detail and line actions</t>
  </si>
  <si>
    <t xml:space="preserve">*Side:* Frontend    *Unit:* Rep app    *Sprint:* SP-11
*Contract status:* Proposed — endpoints must be fixed in the API catalog before this issue is pulled.
h3. Requirements
# Line list with image, name, brand, attributes, quantity, price, deliver button and an options group.
# Quantity adjustment saved on the line and reflected in the invoice total.
# Return or exchange with a mandatory reason, sent to the channel for decision.
# An exchanged line shows a greyed price until the exchange completes.
h3. Acceptance criteria
* (/) A quantity edit changes the invoice for both parties (REQ-IN-05).
* (/) The invoice total at the end of the list always matches the lines.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</si>
  <si>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45</t>
  </si>
  <si>
    <t xml:space="preserve">FE3-RP05 — Collect payment</t>
  </si>
  <si>
    <t xml:space="preserve">*Side:* Frontend    *Unit:* Rep app    *Sprint:* SP-13
*Contract status:* Proposed — endpoints must be fixed in the API catalog before this issue is pulled.
h3. Requirements
# Receipt number linked to the retailer app to prevent double entry.
# Date, time and rep name prefilled; shop from a list; invoice number optional.
# With an invoice the payment posts to it, without one it posts on account.
# Confirmation adds the amount to the wallet.
h3. Acceptance criteria
* (/) The same receipt number can never record two payments, even after repeated sync (REQ-IN-01).
* (/) The wallet increases by exactly the collected amount.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</si>
  <si>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frontend, sp-13</t>
  </si>
  <si>
    <t xml:space="preserve">FE3-RP06 — Accept orders screen</t>
  </si>
  <si>
    <t xml:space="preserve">*Side:* Frontend    *Unit:* Rep app    *Sprint:* SP-11
*Contract status:* Proposed — endpoints must be fixed in the API catalog before this issue is pulled.
h3. Requirements
# Cards grouped by zone with accept, reject and detail actions.
# Accepting moves the order to the delivery list and removes it from this screen.
h3. Acceptance criteria
* (/) Acceptance is immediate in the UI and syncs the decision reliably.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</si>
  <si>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FE3-RP07 — Scheduled orders screen</t>
  </si>
  <si>
    <t xml:space="preserve">*Side:* Frontend    *Unit:* Rep app    *Sprint:* SP-11
*Contract status:* Proposed — endpoints must be fixed in the API catalog before this issue is pulled.
h3. Requirements
# Cards with shop logo, name, address, phone, scheduled datetime, detail button and a state selector.
# A colour-coded state icon: green delivered, grey not delivered, blue postponed, red cancelled.
# A delivered order disappears from the screen.
h3. Acceptance criteria
* (/) A new date set here reaches the channel dashboard.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</si>
  <si>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27</t>
  </si>
  <si>
    <t xml:space="preserve">FE3-RP08 — Warehouse receipt screen</t>
  </si>
  <si>
    <t xml:space="preserve">*Side:* Frontend    *Unit:* Rep app    *Sprint:* SP-10
*Contract status:* Proposed — endpoints must be fixed in the API catalog before this issue is pulled.
h3. Requirements
# Date, rep name, count to receive, and a table of assigned orders with detail and receive actions.
# This screen is the direct counterpart of the warehouse handover screen.
# Offline: scan the temporary handover code later when connectivity returns.
h3. Acceptance criteria
* (/) Receipt does not complete until both sides confirm (REQ-IN-02).
* (/) Stock deduction and the on_the_way state occur only at that moment.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</si>
  <si>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frontend, sp-10</t>
  </si>
  <si>
    <t xml:space="preserve">FE3-RP09 — Products, customers and zones</t>
  </si>
  <si>
    <t xml:space="preserve">*Side:* Frontend    *Unit:* Rep app    *Sprint:* SP-11
*Contract status:* Proposed — endpoints must be fixed in the API catalog before this issue is pulled.
h3. Requirements
# Products page fed by the channel, possibly across more than one channel, with search, barcode, filters and sliders.
# Customers page with search, filters, add shop, and a card with call, map, open and active icons.
# Zones page with add zone, shop counts and drill-through.
h3. Acceptance criteria
* (/) A shop added in the field appears immediately with its location, activity and categories.
* (/) All three pages work offline from cache.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</si>
  <si>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28</t>
  </si>
  <si>
    <t xml:space="preserve">FE3-RP10 — Wallet screen</t>
  </si>
  <si>
    <t xml:space="preserve">*Side:* Frontend    *Unit:* Rep app    *Sprint:* SP-13
*Contract status:* Proposed — endpoints must be fixed in the API catalog before this issue is pulled.
h3. Requirements
# Net wallet block, statistics block for delivered invoices, collected amounts and receivables, and today dues with a date picker.
# Withdrawal with amount and accountant operation number, then the remaining balance message.
# Withdrawal statement between two dates, exportable and shareable as PDF.
# Uncollected debt with per-shop detail and export.
h3. Acceptance criteria
* (/) The displayed balance equals collections minus settlements at any instant (AC-06).
* (/) A withdrawal recorded offline syncs once with its unique identifier.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</si>
  <si>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FE3-WH01 — Warehouse home and work queues</t>
  </si>
  <si>
    <t xml:space="preserve">*Side:* Frontend    *Unit:* Warehouse console    *Sprint:* SP-10
*Contract status:* Proposed — endpoints must be fixed in the API catalog before this issue is pulled.
h3. Requirements
# Large queue cards with counters: awaiting picking, picking, awaiting packing, ready, awaiting rep, inbound returns, inbound transfers.
# Alert strip for blocking shortages, reorder-threshold items and near-expiry items.
# Quick actions: scan, quick count, receive inbound, find an item and its location.
h3. Acceptance criteria
* (/) Every queue counter is a live server figure.
* (/) The screen is legible from two metres on a tablet.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</si>
  <si>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FE3-WH02 — Picking screen</t>
  </si>
  <si>
    <t xml:space="preserve">*Side:* Frontend    *Unit:* Warehouse console    *Sprint:* SP-10
*Contract status:* Proposed — endpoints must be fixed in the API catalog before this issue is pulled.
h3. Requirements
# Header with order number, shop, zone, expected rep, item and piece counts and due time.
# Lines ordered by optimal path with aisle and shelf, image, variant, required quantity, unit, barcode and picked count.
# Scanning increments the counter; a wrong scan triggers an audible and visual rejection.
# Batch picking of several orders in one round within the same zone.
h3. Acceptance criteria
* (/) A wrong scan is impossible to accept.
* (/) The full screen operates with no connectivity and syncs afterwards.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</si>
  <si>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FE3-WH03 — Shortage handling</t>
  </si>
  <si>
    <t xml:space="preserve">*Side:* Frontend    *Unit:* Warehouse console    *Sprint:* SP-10
*Contract status:* Proposed — endpoints must be fixed in the API catalog before this issue is pulled.
h3. Requirements
# Record the available quantity with a reason and alert sales immediately.
# Show substitute suggestions from the same category, actionable only with sales approval.
h3. Acceptance criteria
* (/) The warehouse cannot substitute unilaterally.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</si>
  <si>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18</t>
  </si>
  <si>
    <t xml:space="preserve">FE3-WH04 — Packing and quality check</t>
  </si>
  <si>
    <t xml:space="preserve">*Side:* Frontend    *Unit:* Warehouse console    *Sprint:* SP-10
*Contract status:* Proposed — endpoints must be fixed in the API catalog before this issue is pulled.
h3. Requirements
# Final rescan against the order, package count and weight, label printing per package.
# Invoice and delivery-note printing with a copy count.
# Fragile and refrigerated markers.
h3. Acceptance criteria
* (/) Ready cannot be set while any item is unscanned.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</si>
  <si>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FE3-WH05 — Handover screen</t>
  </si>
  <si>
    <t xml:space="preserve">*Side:* Frontend    *Unit:* Warehouse console    *Sprint:* SP-10
*Contract status:* Proposed — endpoints must be fixed in the API catalog before this issue is pulled.
h3. Requirements
# Select the rep from those present or scan their QR from the rep app.
# Show all their ready assigned orders with package counts and total value.
# Dual confirmation is mandatory; a temporary code covers an offline rep device.
# End-of-day return screen recording undelivered orders back into stock.
h3. Acceptance criteria
* (/) One-sided confirmation never completes the handover (REQ-IN-02).
* (/) An exit note is produced on completion.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</si>
  <si>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FE3-WH06 — Inbound receipt and returns</t>
  </si>
  <si>
    <t xml:space="preserve">*Side:* Frontend    *Unit:* Warehouse console    *Sprint:* SP-10
*Contract status:* Proposed — endpoints must be fixed in the API catalog before this issue is pulled.
h3. Requirements
# Inbound matching against the purchase or transfer document, lot and expiry capture, quality outcome with photographs.
# Returns sorting into resaleable, damaged and expired, with each linked to its financial document.
h3. Acceptance criteria
* (/) Damaged goods never re-enter available stock.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</si>
  <si>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22 31</t>
  </si>
  <si>
    <t xml:space="preserve">FE3-WH07 — Stocktake screen</t>
  </si>
  <si>
    <t xml:space="preserve">*Side:* Frontend    *Unit:* Warehouse console    *Sprint:* SP-09
*Contract status:* Proposed — endpoints must be fixed in the API catalog before this issue is pulled.
h3. Requirements
# Count sheets by area and shelf distributed to users.
# Actual quantity entered without showing the book quantity.
# Variance report requiring higher approval before adjustment.
h3. Acceptance criteria
* (/) Counted items are frozen for movement during the count.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</si>
  <si>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frontend, sp-09</t>
  </si>
  <si>
    <t xml:space="preserve">16</t>
  </si>
  <si>
    <t xml:space="preserve">FE3-RT01 — Order tracking screen</t>
  </si>
  <si>
    <t xml:space="preserve">*Side:* Frontend    *Unit:* Retailer app    *Sprint:* SP-11
*Contract status:* Proposed — endpoints must be fixed in the API catalog before this issue is pulled.
h3. Requirements
# A vertical five-stage timeline with the time and date of each stage.
# At on_the_way the rep name and phone appear with a map tracking button.
# Offline shows the last known state without live tracking.
h3. Acceptance criteria
* (/) The rep identity is absent from the payload before on_the_way (BR-03).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</si>
  <si>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26</t>
  </si>
  <si>
    <t xml:space="preserve">FE3-RT02 — Order receipt screen</t>
  </si>
  <si>
    <t xml:space="preserve">*Side:* Frontend    *Unit:* Retailer app    *Sprint:* SP-11
*Contract status:* Proposed — endpoints must be fixed in the API catalog before this issue is pulled.
h3. Requirements
# Opened by invoice number and channel, showing the line list with receive and an options group.
# Quantity adjustment recalculates the invoice amount.
# Return or exchange with a mandatory reason sent to the channel.
# After confirming receipt, prompt for a payment and open the payment window with the receipt number.
h3. Acceptance criteria
* (/) The retailer and rep see identical lines and identical totals (REQ-IN-05).
* (/) Recorded offline, it syncs once with its unique identifier.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</si>
  <si>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FE3-RT03 — Record payment window</t>
  </si>
  <si>
    <t xml:space="preserve">*Side:* Frontend    *Unit:* Retailer app    *Sprint:* SP-13
*Contract status:* Proposed — endpoints must be fixed in the API catalog before this issue is pulled.
h3. Requirements
# Receipt number taken from the rep app, prefilled date, time and shop, optional invoice number, amount, confirm.
h3. Acceptance criteria
* (/) Two payments with the same receipt number are impossible from this screen.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</si>
  <si>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FE3-RT04 — Returns and exchanges page</t>
  </si>
  <si>
    <t xml:space="preserve">*Side:* Frontend    *Unit:* Retailer app    *Sprint:* SP-12
*Contract status:* Proposed — endpoints must be fixed in the API catalog before this issue is pulled.
h3. Requirements
# All return and exchange requests filtered by date, channel and state.
h3. Acceptance criteria
* (/) A channel decision with its reason is visible to the retailer.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</si>
  <si>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l3, frontend, sp-12</t>
  </si>
  <si>
    <t xml:space="preserve">29</t>
  </si>
  <si>
    <t xml:space="preserve">FE3-RT05 — Statement and monthly statistics</t>
  </si>
  <si>
    <t xml:space="preserve">*Side:* Frontend    *Unit:* Retailer app    *Sprint:* SP-13
*Contract status:* Proposed — endpoints must be fixed in the API catalog before this issue is pulled.
h3. Requirements
# Monthly card with seven financial and operational indicators and a month picker.
# General statement between two dates with invoice and receipt numbers, exportable.
h3. Acceptance criteria
* (/) The statement reconciles to invoices minus payments minus returns at any instant (AC-07).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</si>
  <si>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38</t>
  </si>
  <si>
    <t xml:space="preserve">FE3-RT06 — Offline engine in the retailer app</t>
  </si>
  <si>
    <t xml:space="preserve">*Side:* Frontend    *Unit:* Retailer app    *Sprint:* SP-12
*Contract status:* Proposed — endpoints must be fixed in the API catalog before this issue is pulled.
h3. Requirements
# Local SQLite holding catalog, prices, offers, customers, zones and recent orders.
# Every write is applied locally and shown immediately, then pushed to an outbox with a unique identifier.
# Three-colour indicator, manual sync button, exponential backoff and a visible failure state with manual retry.
# Differential sync only.
h3. Acceptance criteria
* (/) A full order is created offline and arrives intact and unduplicated (DOC-04 §8).
* (/) No financial operation leaves the outbox before the server confirms it (REQ-CM-019).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</si>
  <si>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39 40</t>
  </si>
  <si>
    <t xml:space="preserve">FE3-RT07 — Offline engine in the rep app</t>
  </si>
  <si>
    <t xml:space="preserve">*Side:* Frontend    *Unit:* Rep app    *Sprint:* SP-12
*Contract status:* Proposed — endpoints must be fixed in the API catalog before this issue is pulled.
h3. Requirements
# The same engine configured for the rep dataset: assigned orders, custody, wallet, customers.
# A complete cycle offline: warehouse receipt, delivery, collection, then sync.
h3. Acceptance criteria
* (/) A full working day offline loses and duplicates nothing (AC-05).
* (/) The wallet after sync matches collections minus settlements exactly (AC-06).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</si>
  <si>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65</t>
  </si>
  <si>
    <t xml:space="preserve">FE3-CH01 — Inventory console</t>
  </si>
  <si>
    <t xml:space="preserve">*Side:* Frontend    *Unit:* Channel dashboard    *Sprint:* SP-09
*Contract status:* Proposed — endpoints must be fixed in the API catalog before this issue is pulled.
h3. Requirements
# Warehouses, balances by state, movement ledger, stocktakes, transfers and reorder thresholds.
# Every number drills through to its movement.
h3. Acceptance criteria
* (/) The ledger view is read only and cannot be edited from the UI.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</si>
  <si>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11 13</t>
  </si>
  <si>
    <t xml:space="preserve">FE3-CH02 — Assignment console</t>
  </si>
  <si>
    <t xml:space="preserve">*Side:* Frontend    *Unit:* Channel dashboard    *Sprint:* SP-11
*Contract status:* Proposed — endpoints must be fixed in the API catalog before this issue is pulled.
h3. Requirements
# Manual, automatic and bulk zone assignment with rep load and duty state visible.
# Reassignment with a reason, blocked after handover.
# Immediate alert on rep rejection with the reason.
h3. Acceptance criteria
* (/) Assigning an off-duty rep is impossible from the UI and from the API.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</si>
  <si>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FE3-CH03 — Rep management</t>
  </si>
  <si>
    <t xml:space="preserve">*Side:* Frontend    *Unit:* Channel dashboard    *Sprint:* SP-11
*Contract status:* Proposed — endpoints must be fixed in the API catalog before this issue is pulled.
h3. Requirements
# Account approval, zone and activity binding, allowed product set, operational caps.
# Duty state, working-hours log, live map and today route.
# Wallet, collections, settlements and uncollected receivables.
# Ratings with average stars and quick tags, plus performance indicators.
# Immediate deactivation transferring open tasks to another rep in one step.
h3. Acceptance criteria
* (/) Deactivation never leaves an order without an owner.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</si>
  <si>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26 36</t>
  </si>
  <si>
    <t xml:space="preserve">FE3-CH04 — Retailer management and the 360 card</t>
  </si>
  <si>
    <t xml:space="preserve">*Side:* Frontend    *Unit:* Channel dashboard    *Sprint:* SP-11
*Contract status:* Proposed — endpoints must be fixed in the API catalog before this issue is pulled.
h3. Requirements
# Retailer list with filters, registration approval with location and phone verification.
# The 360 card: profile, financial summary, ageing, last ten orders, most purchased items, responsible rep, visit log and ratings.
# Retailer groups for pricing, offers and notifications; credit limit, grace period and breach behaviour.
h3. Acceptance criteria
* (/) Every figure on the 360 card drills through to its documents.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</si>
  <si>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FE3-CH05 — Returns decision inbox</t>
  </si>
  <si>
    <t xml:space="preserve">*Side:* Frontend    *Unit:* Channel dashboard    *Sprint:* SP-12
*Contract status:* Proposed — endpoints must be fixed in the API catalog before this issue is pulled.
h3. Requirements
# One inbox receiving requests from both apps, showing invoice, retailer, rep, line, quantity, type, reason and photographs.
# Accept or reject with a mandatory reason and immediate notification to both parties.
# SLA timer with visible escalation.
h3. Acceptance criteria
* (/) The decision belongs to the channel alone and cannot be taken by either app (REQ-IN-04).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</si>
  <si>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FE3-CH06 — Finance console</t>
  </si>
  <si>
    <t xml:space="preserve">*Side:* Frontend    *Unit:* Channel dashboard    *Sprint:* SP-13
*Contract status:* Proposed — endpoints must be fixed in the API catalog before this issue is pulled.
h3. Requirements
# Invoices, payments, statements, ageing and rep settlements.
# The settlement screen where the accountant enters the operation number and amount and prints the voucher.
# A posted invoice is corrected only through a credit or debit note.
h3. Acceptance criteria
* (/) No screen offers editing of a posted invoice.
* (/) Every financial screen exports to Excel and PDF.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</si>
  <si>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33 37</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</si>
</sst>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0"/>
      <color rgb="FF595959"/>
      <name val="Arial"/>
      <family val="0"/>
      <charset val="1"/>
    </font>
    <font>
      <b val="true"/>
      <sz val="13"/>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b val="true"/>
      <sz val="9"/>
      <color rgb="FF1F3864"/>
      <name val="Arial"/>
      <family val="0"/>
      <charset val="1"/>
    </font>
    <font>
      <sz val="9"/>
      <color rgb="FF000000"/>
      <name val="Arial"/>
      <family val="0"/>
      <charset val="1"/>
    </font>
    <font>
      <b val="true"/>
      <sz val="14"/>
      <color rgb="FF1F3864"/>
      <name val="Arial"/>
      <family val="0"/>
      <charset val="1"/>
    </font>
    <font>
      <b val="true"/>
      <sz val="12"/>
      <color rgb="FF1F3864"/>
      <name val="Arial"/>
      <family val="0"/>
      <charset val="1"/>
    </font>
    <font>
      <sz val="9"/>
      <name val="Arial"/>
      <family val="0"/>
      <charset val="1"/>
    </font>
  </fonts>
  <fills count="9">
    <fill>
      <patternFill patternType="none"/>
    </fill>
    <fill>
      <patternFill patternType="gray125"/>
    </fill>
    <fill>
      <patternFill patternType="solid">
        <fgColor rgb="FFFFFFFF"/>
        <bgColor rgb="FFF2F5FB"/>
      </patternFill>
    </fill>
    <fill>
      <patternFill patternType="solid">
        <fgColor rgb="FFF2F5FB"/>
        <bgColor rgb="FFFFFFFF"/>
      </patternFill>
    </fill>
    <fill>
      <patternFill patternType="solid">
        <fgColor rgb="FF1F3864"/>
        <bgColor rgb="FF333333"/>
      </patternFill>
    </fill>
    <fill>
      <patternFill patternType="solid">
        <fgColor rgb="FFF4CCCC"/>
        <bgColor rgb="FFFCE5CD"/>
      </patternFill>
    </fill>
    <fill>
      <patternFill patternType="solid">
        <fgColor rgb="FFFFF2CC"/>
        <bgColor rgb="FFFCE5CD"/>
      </patternFill>
    </fill>
    <fill>
      <patternFill patternType="solid">
        <fgColor rgb="FFFCE5CD"/>
        <bgColor rgb="FFFFF2CC"/>
      </patternFill>
    </fill>
    <fill>
      <patternFill patternType="solid">
        <fgColor rgb="FFE2EFDA"/>
        <bgColor rgb="FFF2F5FB"/>
      </patternFill>
    </fill>
  </fills>
  <borders count="2">
    <border diagonalUp="false" diagonalDown="false">
      <left/>
      <right/>
      <top/>
      <bottom/>
      <diagonal/>
    </border>
    <border diagonalUp="false" diagonalDown="false">
      <left style="thin">
        <color rgb="FFB4C0D8"/>
      </left>
      <right style="thin">
        <color rgb="FFB4C0D8"/>
      </right>
      <top style="thin">
        <color rgb="FFB4C0D8"/>
      </top>
      <bottom style="thin">
        <color rgb="FFB4C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5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7B6C"/>
      <rgbColor rgb="FFB4C0D8"/>
      <rgbColor rgb="FF7F7F7F"/>
      <rgbColor rgb="FF9999FF"/>
      <rgbColor rgb="FF7030A0"/>
      <rgbColor rgb="FFFFF2CC"/>
      <rgbColor rgb="FFF2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5CD"/>
      <rgbColor rgb="FF99CCFF"/>
      <rgbColor rgb="FFFF99CC"/>
      <rgbColor rgb="FFCC99FF"/>
      <rgbColor rgb="FFF4CCCC"/>
      <rgbColor rgb="FF3366FF"/>
      <rgbColor rgb="FF33CCCC"/>
      <rgbColor rgb="FF99CC00"/>
      <rgbColor rgb="FFFFCC00"/>
      <rgbColor rgb="FFFF9900"/>
      <rgbColor rgb="FFC55A11"/>
      <rgbColor rgb="FF595959"/>
      <rgbColor rgb="FF969696"/>
      <rgbColor rgb="FF1F3864"/>
      <rgbColor rgb="FF339966"/>
      <rgbColor rgb="FF003300"/>
      <rgbColor rgb="FF333300"/>
      <rgbColor rgb="FF9C2A21"/>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B4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27.75" hidden="false" customHeight="true" outlineLevel="0" collapsed="false">
      <c r="A1" s="1" t="s">
        <v>0</v>
      </c>
    </row>
    <row r="2" customFormat="false" ht="25.5" hidden="false" customHeight="true" outlineLevel="0" collapsed="false">
      <c r="A2" s="2" t="s">
        <v>1</v>
      </c>
      <c r="B2" s="2"/>
    </row>
    <row r="4" customFormat="false" ht="16.15" hidden="false" customHeight="false" outlineLevel="0" collapsed="false">
      <c r="A4" s="3" t="s">
        <v>2</v>
      </c>
    </row>
    <row r="5" customFormat="false" ht="13.5" hidden="false" customHeight="true" outlineLevel="0" collapsed="false">
      <c r="A5" s="4" t="s">
        <v>3</v>
      </c>
      <c r="B5" s="5" t="s">
        <v>4</v>
      </c>
    </row>
    <row r="6" customFormat="false" ht="13.5" hidden="false" customHeight="true" outlineLevel="0" collapsed="false">
      <c r="A6" s="6" t="s">
        <v>5</v>
      </c>
      <c r="B6" s="7" t="s">
        <v>6</v>
      </c>
    </row>
    <row r="7" customFormat="false" ht="13.5" hidden="false" customHeight="true" outlineLevel="0" collapsed="false">
      <c r="A7" s="4" t="s">
        <v>7</v>
      </c>
      <c r="B7" s="5" t="s">
        <v>8</v>
      </c>
    </row>
    <row r="8" customFormat="false" ht="13.5" hidden="false" customHeight="true" outlineLevel="0" collapsed="false">
      <c r="A8" s="6" t="s">
        <v>9</v>
      </c>
      <c r="B8" s="7" t="s">
        <v>10</v>
      </c>
    </row>
    <row r="9" customFormat="false" ht="42" hidden="false" customHeight="true" outlineLevel="0" collapsed="false">
      <c r="A9" s="4" t="s">
        <v>11</v>
      </c>
      <c r="B9" s="5" t="s">
        <v>12</v>
      </c>
    </row>
    <row r="11" customFormat="false" ht="16.15" hidden="false" customHeight="false" outlineLevel="0" collapsed="false">
      <c r="A11" s="3" t="s">
        <v>13</v>
      </c>
    </row>
    <row r="12" customFormat="false" ht="13.5" hidden="false" customHeight="true" outlineLevel="0" collapsed="false">
      <c r="A12" s="4" t="s">
        <v>14</v>
      </c>
      <c r="B12" s="5" t="s">
        <v>15</v>
      </c>
    </row>
    <row r="13" customFormat="false" ht="13.5" hidden="false" customHeight="true" outlineLevel="0" collapsed="false">
      <c r="A13" s="6" t="s">
        <v>16</v>
      </c>
      <c r="B13" s="7" t="s">
        <v>17</v>
      </c>
    </row>
    <row r="14" customFormat="false" ht="13.5" hidden="false" customHeight="true" outlineLevel="0" collapsed="false">
      <c r="A14" s="4" t="s">
        <v>18</v>
      </c>
      <c r="B14" s="5" t="s">
        <v>19</v>
      </c>
    </row>
    <row r="15" customFormat="false" ht="13.5" hidden="false" customHeight="true" outlineLevel="0" collapsed="false">
      <c r="A15" s="6" t="s">
        <v>20</v>
      </c>
      <c r="B15" s="7" t="s">
        <v>21</v>
      </c>
    </row>
    <row r="16" customFormat="false" ht="13.5" hidden="false" customHeight="true" outlineLevel="0" collapsed="false">
      <c r="A16" s="4" t="s">
        <v>22</v>
      </c>
      <c r="B16" s="5" t="s">
        <v>23</v>
      </c>
    </row>
    <row r="17" customFormat="false" ht="13.5" hidden="false" customHeight="true" outlineLevel="0" collapsed="false">
      <c r="A17" s="6" t="s">
        <v>24</v>
      </c>
      <c r="B17" s="7" t="s">
        <v>25</v>
      </c>
    </row>
    <row r="18" customFormat="false" ht="13.5" hidden="false" customHeight="true" outlineLevel="0" collapsed="false">
      <c r="A18" s="4" t="s">
        <v>26</v>
      </c>
      <c r="B18" s="5" t="s">
        <v>27</v>
      </c>
    </row>
    <row r="19" customFormat="false" ht="13.5" hidden="false" customHeight="true" outlineLevel="0" collapsed="false">
      <c r="A19" s="6" t="s">
        <v>28</v>
      </c>
      <c r="B19" s="7" t="s">
        <v>29</v>
      </c>
    </row>
    <row r="20" customFormat="false" ht="13.5" hidden="false" customHeight="true" outlineLevel="0" collapsed="false">
      <c r="A20" s="4" t="s">
        <v>30</v>
      </c>
      <c r="B20" s="5" t="s">
        <v>31</v>
      </c>
    </row>
    <row r="21" customFormat="false" ht="13.5" hidden="false" customHeight="true" outlineLevel="0" collapsed="false">
      <c r="A21" s="6" t="s">
        <v>32</v>
      </c>
      <c r="B21" s="7" t="s">
        <v>33</v>
      </c>
    </row>
    <row r="23" customFormat="false" ht="16.15" hidden="false" customHeight="false" outlineLevel="0" collapsed="false">
      <c r="A23" s="3" t="s">
        <v>34</v>
      </c>
    </row>
    <row r="24" customFormat="false" ht="27.75" hidden="false" customHeight="true" outlineLevel="0" collapsed="false">
      <c r="A24" s="4" t="s">
        <v>35</v>
      </c>
      <c r="B24" s="5" t="s">
        <v>36</v>
      </c>
    </row>
    <row r="25" customFormat="false" ht="27.75" hidden="false" customHeight="true" outlineLevel="0" collapsed="false">
      <c r="A25" s="6" t="s">
        <v>37</v>
      </c>
      <c r="B25" s="7" t="s">
        <v>38</v>
      </c>
    </row>
    <row r="26" customFormat="false" ht="13.5" hidden="false" customHeight="true" outlineLevel="0" collapsed="false">
      <c r="A26" s="4" t="s">
        <v>39</v>
      </c>
      <c r="B26" s="5" t="s">
        <v>40</v>
      </c>
    </row>
    <row r="28" customFormat="false" ht="16.15" hidden="false" customHeight="false" outlineLevel="0" collapsed="false">
      <c r="A28" s="3" t="s">
        <v>41</v>
      </c>
    </row>
    <row r="29" customFormat="false" ht="13.5" hidden="false" customHeight="true" outlineLevel="0" collapsed="false">
      <c r="A29" s="4" t="s">
        <v>42</v>
      </c>
      <c r="B29" s="5" t="s">
        <v>43</v>
      </c>
    </row>
    <row r="30" customFormat="false" ht="13.5" hidden="false" customHeight="true" outlineLevel="0" collapsed="false">
      <c r="A30" s="6" t="s">
        <v>44</v>
      </c>
      <c r="B30" s="7" t="s">
        <v>45</v>
      </c>
    </row>
    <row r="31" customFormat="false" ht="13.5" hidden="false" customHeight="true" outlineLevel="0" collapsed="false">
      <c r="A31" s="4" t="s">
        <v>46</v>
      </c>
      <c r="B31" s="5" t="s">
        <v>47</v>
      </c>
    </row>
    <row r="32" customFormat="false" ht="13.5" hidden="false" customHeight="true" outlineLevel="0" collapsed="false">
      <c r="A32" s="6" t="s">
        <v>48</v>
      </c>
      <c r="B32" s="7" t="s">
        <v>49</v>
      </c>
    </row>
    <row r="33" customFormat="false" ht="13.5" hidden="false" customHeight="true" outlineLevel="0" collapsed="false">
      <c r="A33" s="4" t="s">
        <v>50</v>
      </c>
      <c r="B33" s="5" t="s">
        <v>51</v>
      </c>
    </row>
    <row r="34" customFormat="false" ht="13.5" hidden="false" customHeight="true" outlineLevel="0" collapsed="false">
      <c r="A34" s="6" t="s">
        <v>52</v>
      </c>
      <c r="B34" s="7" t="s">
        <v>53</v>
      </c>
    </row>
    <row r="35" customFormat="false" ht="13.5" hidden="false" customHeight="true" outlineLevel="0" collapsed="false">
      <c r="A35" s="4" t="s">
        <v>54</v>
      </c>
      <c r="B35" s="5" t="s">
        <v>55</v>
      </c>
    </row>
    <row r="36" customFormat="false" ht="13.5" hidden="false" customHeight="true" outlineLevel="0" collapsed="false">
      <c r="A36" s="6" t="s">
        <v>56</v>
      </c>
      <c r="B36" s="7" t="s">
        <v>57</v>
      </c>
    </row>
    <row r="37" customFormat="false" ht="13.5" hidden="false" customHeight="true" outlineLevel="0" collapsed="false">
      <c r="A37" s="4" t="s">
        <v>58</v>
      </c>
      <c r="B37" s="5" t="s">
        <v>59</v>
      </c>
    </row>
    <row r="38" customFormat="false" ht="13.5" hidden="false" customHeight="true" outlineLevel="0" collapsed="false">
      <c r="A38" s="6" t="s">
        <v>60</v>
      </c>
      <c r="B38" s="7" t="s">
        <v>61</v>
      </c>
    </row>
    <row r="40" customFormat="false" ht="16.15" hidden="false" customHeight="false" outlineLevel="0" collapsed="false">
      <c r="A40" s="3" t="s">
        <v>62</v>
      </c>
    </row>
    <row r="41" customFormat="false" ht="15" hidden="false" customHeight="false" outlineLevel="0" collapsed="false">
      <c r="A41" s="8" t="s">
        <v>63</v>
      </c>
      <c r="B41" s="9" t="n">
        <f aca="false">COUNTA(Backlog!A2:A63)</f>
        <v>62</v>
      </c>
    </row>
    <row r="42" customFormat="false" ht="15" hidden="false" customHeight="false" outlineLevel="0" collapsed="false">
      <c r="A42" s="8" t="s">
        <v>64</v>
      </c>
      <c r="B42" s="9" t="n">
        <f aca="false">SUM(Backlog!L2:L63)</f>
        <v>371</v>
      </c>
    </row>
    <row r="43" customFormat="false" ht="15" hidden="false" customHeight="false" outlineLevel="0" collapsed="false">
      <c r="A43" s="8" t="s">
        <v>65</v>
      </c>
      <c r="B43" s="9" t="n">
        <f aca="false">COUNTIF(Backlog!B2:B63,"Backend")</f>
        <v>32</v>
      </c>
    </row>
    <row r="44" customFormat="false" ht="15" hidden="false" customHeight="false" outlineLevel="0" collapsed="false">
      <c r="A44" s="8" t="s">
        <v>66</v>
      </c>
      <c r="B44" s="9" t="n">
        <f aca="false">COUNTIF(Backlog!B2:B63,"Frontend")</f>
        <v>30</v>
      </c>
    </row>
    <row r="45" customFormat="false" ht="15" hidden="false" customHeight="false" outlineLevel="0" collapsed="false">
      <c r="A45" s="8" t="s">
        <v>14</v>
      </c>
      <c r="B45" s="9" t="n">
        <f aca="false">COUNTA(Epics!A2:A60)</f>
        <v>10</v>
      </c>
    </row>
    <row r="46" customFormat="false" ht="15" hidden="false" customHeight="false" outlineLevel="0" collapsed="false">
      <c r="A46" s="8" t="s">
        <v>67</v>
      </c>
      <c r="B46" s="9" t="s">
        <v>68</v>
      </c>
    </row>
    <row r="47" customFormat="false" ht="15" hidden="false" customHeight="false" outlineLevel="0" collapsed="false">
      <c r="A47" s="8" t="s">
        <v>69</v>
      </c>
      <c r="B47" s="9" t="s">
        <v>70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62"/>
    <col collapsed="false" customWidth="true" hidden="false" outlineLevel="0" max="5" min="4" style="0" width="8"/>
    <col collapsed="false" customWidth="true" hidden="false" outlineLevel="0" max="6" min="6" style="0" width="24"/>
  </cols>
  <sheetData>
    <row r="1" customFormat="false" ht="30" hidden="false" customHeight="true" outlineLevel="0" collapsed="false">
      <c r="A1" s="10" t="s">
        <v>71</v>
      </c>
      <c r="B1" s="10" t="s">
        <v>72</v>
      </c>
      <c r="C1" s="10" t="s">
        <v>73</v>
      </c>
      <c r="D1" s="10" t="s">
        <v>74</v>
      </c>
      <c r="E1" s="10" t="s">
        <v>75</v>
      </c>
      <c r="F1" s="10" t="s">
        <v>5</v>
      </c>
    </row>
    <row r="2" customFormat="false" ht="28.5" hidden="false" customHeight="true" outlineLevel="0" collapsed="false">
      <c r="A2" s="11" t="s">
        <v>76</v>
      </c>
      <c r="B2" s="12" t="s">
        <v>77</v>
      </c>
      <c r="C2" s="12" t="s">
        <v>78</v>
      </c>
      <c r="D2" s="13" t="n">
        <v>6</v>
      </c>
      <c r="E2" s="13" t="n">
        <v>34</v>
      </c>
      <c r="F2" s="12" t="s">
        <v>79</v>
      </c>
    </row>
    <row r="3" customFormat="false" ht="17.25" hidden="false" customHeight="true" outlineLevel="0" collapsed="false">
      <c r="A3" s="14" t="s">
        <v>80</v>
      </c>
      <c r="B3" s="15" t="s">
        <v>81</v>
      </c>
      <c r="C3" s="15" t="s">
        <v>82</v>
      </c>
      <c r="D3" s="16" t="n">
        <v>6</v>
      </c>
      <c r="E3" s="16" t="n">
        <v>36</v>
      </c>
      <c r="F3" s="15" t="s">
        <v>83</v>
      </c>
    </row>
    <row r="4" customFormat="false" ht="17.25" hidden="false" customHeight="true" outlineLevel="0" collapsed="false">
      <c r="A4" s="11" t="s">
        <v>84</v>
      </c>
      <c r="B4" s="12" t="s">
        <v>85</v>
      </c>
      <c r="C4" s="12" t="s">
        <v>86</v>
      </c>
      <c r="D4" s="13" t="n">
        <v>6</v>
      </c>
      <c r="E4" s="13" t="n">
        <v>36</v>
      </c>
      <c r="F4" s="12" t="s">
        <v>87</v>
      </c>
    </row>
    <row r="5" customFormat="false" ht="28.5" hidden="false" customHeight="true" outlineLevel="0" collapsed="false">
      <c r="A5" s="14" t="s">
        <v>88</v>
      </c>
      <c r="B5" s="15" t="s">
        <v>89</v>
      </c>
      <c r="C5" s="15" t="s">
        <v>90</v>
      </c>
      <c r="D5" s="16" t="n">
        <v>4</v>
      </c>
      <c r="E5" s="16" t="n">
        <v>21</v>
      </c>
      <c r="F5" s="15" t="s">
        <v>91</v>
      </c>
    </row>
    <row r="6" customFormat="false" ht="28.5" hidden="false" customHeight="true" outlineLevel="0" collapsed="false">
      <c r="A6" s="11" t="s">
        <v>92</v>
      </c>
      <c r="B6" s="12" t="s">
        <v>93</v>
      </c>
      <c r="C6" s="12" t="s">
        <v>94</v>
      </c>
      <c r="D6" s="13" t="n">
        <v>6</v>
      </c>
      <c r="E6" s="13" t="n">
        <v>39</v>
      </c>
      <c r="F6" s="12" t="s">
        <v>95</v>
      </c>
    </row>
    <row r="7" customFormat="false" ht="28.5" hidden="false" customHeight="true" outlineLevel="0" collapsed="false">
      <c r="A7" s="14" t="s">
        <v>96</v>
      </c>
      <c r="B7" s="15" t="s">
        <v>97</v>
      </c>
      <c r="C7" s="15" t="s">
        <v>98</v>
      </c>
      <c r="D7" s="16" t="n">
        <v>4</v>
      </c>
      <c r="E7" s="16" t="n">
        <v>24</v>
      </c>
      <c r="F7" s="15" t="s">
        <v>91</v>
      </c>
    </row>
    <row r="8" customFormat="false" ht="28.5" hidden="false" customHeight="true" outlineLevel="0" collapsed="false">
      <c r="A8" s="11" t="s">
        <v>99</v>
      </c>
      <c r="B8" s="12" t="s">
        <v>100</v>
      </c>
      <c r="C8" s="12" t="s">
        <v>101</v>
      </c>
      <c r="D8" s="13" t="n">
        <v>10</v>
      </c>
      <c r="E8" s="13" t="n">
        <v>58</v>
      </c>
      <c r="F8" s="12" t="s">
        <v>102</v>
      </c>
    </row>
    <row r="9" customFormat="false" ht="28.5" hidden="false" customHeight="true" outlineLevel="0" collapsed="false">
      <c r="A9" s="14" t="s">
        <v>103</v>
      </c>
      <c r="B9" s="15" t="s">
        <v>104</v>
      </c>
      <c r="C9" s="15" t="s">
        <v>105</v>
      </c>
      <c r="D9" s="16" t="n">
        <v>7</v>
      </c>
      <c r="E9" s="16" t="n">
        <v>41</v>
      </c>
      <c r="F9" s="15" t="s">
        <v>106</v>
      </c>
    </row>
    <row r="10" customFormat="false" ht="17.25" hidden="false" customHeight="true" outlineLevel="0" collapsed="false">
      <c r="A10" s="11" t="s">
        <v>107</v>
      </c>
      <c r="B10" s="12" t="s">
        <v>108</v>
      </c>
      <c r="C10" s="12" t="s">
        <v>109</v>
      </c>
      <c r="D10" s="13" t="n">
        <v>7</v>
      </c>
      <c r="E10" s="13" t="n">
        <v>40</v>
      </c>
      <c r="F10" s="12" t="s">
        <v>110</v>
      </c>
    </row>
    <row r="11" customFormat="false" ht="28.5" hidden="false" customHeight="true" outlineLevel="0" collapsed="false">
      <c r="A11" s="14" t="s">
        <v>111</v>
      </c>
      <c r="B11" s="15" t="s">
        <v>112</v>
      </c>
      <c r="C11" s="15" t="s">
        <v>113</v>
      </c>
      <c r="D11" s="16" t="n">
        <v>6</v>
      </c>
      <c r="E11" s="16" t="n">
        <v>42</v>
      </c>
      <c r="F11" s="15" t="s">
        <v>114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O6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8"/>
    <col collapsed="false" customWidth="true" hidden="false" outlineLevel="0" max="4" min="4" style="0" width="32"/>
    <col collapsed="false" customWidth="true" hidden="false" outlineLevel="0" max="5" min="5" style="0" width="14"/>
    <col collapsed="false" customWidth="true" hidden="false" outlineLevel="0" max="6" min="6" style="0" width="9"/>
    <col collapsed="false" customWidth="true" hidden="false" outlineLevel="0" max="7" min="7" style="0" width="22"/>
    <col collapsed="false" customWidth="true" hidden="false" outlineLevel="0" max="8" min="8" style="0" width="15"/>
    <col collapsed="false" customWidth="true" hidden="false" outlineLevel="0" max="9" min="9" style="0" width="62"/>
    <col collapsed="false" customWidth="true" hidden="false" outlineLevel="0" max="10" min="10" style="0" width="52"/>
    <col collapsed="false" customWidth="true" hidden="false" outlineLevel="0" max="11" min="11" style="0" width="26"/>
    <col collapsed="false" customWidth="true" hidden="false" outlineLevel="0" max="12" min="12" style="0" width="7"/>
    <col collapsed="false" customWidth="true" hidden="false" outlineLevel="0" max="13" min="13" style="0" width="9"/>
    <col collapsed="false" customWidth="true" hidden="false" outlineLevel="0" max="14" min="14" style="0" width="20"/>
    <col collapsed="false" customWidth="true" hidden="false" outlineLevel="0" max="15" min="15" style="0" width="11"/>
  </cols>
  <sheetData>
    <row r="1" customFormat="false" ht="30" hidden="false" customHeight="true" outlineLevel="0" collapsed="false">
      <c r="A1" s="10" t="s">
        <v>115</v>
      </c>
      <c r="B1" s="10" t="s">
        <v>116</v>
      </c>
      <c r="C1" s="10" t="s">
        <v>117</v>
      </c>
      <c r="D1" s="10" t="s">
        <v>118</v>
      </c>
      <c r="E1" s="10" t="s">
        <v>119</v>
      </c>
      <c r="F1" s="10" t="s">
        <v>120</v>
      </c>
      <c r="G1" s="10" t="s">
        <v>121</v>
      </c>
      <c r="H1" s="10" t="s">
        <v>28</v>
      </c>
      <c r="I1" s="10" t="s">
        <v>122</v>
      </c>
      <c r="J1" s="10" t="s">
        <v>123</v>
      </c>
      <c r="K1" s="10" t="s">
        <v>124</v>
      </c>
      <c r="L1" s="10" t="s">
        <v>75</v>
      </c>
      <c r="M1" s="10" t="s">
        <v>125</v>
      </c>
      <c r="N1" s="10" t="s">
        <v>126</v>
      </c>
      <c r="O1" s="10" t="s">
        <v>127</v>
      </c>
    </row>
    <row r="2" customFormat="false" ht="86.25" hidden="false" customHeight="true" outlineLevel="0" collapsed="false">
      <c r="A2" s="11" t="s">
        <v>128</v>
      </c>
      <c r="B2" s="13" t="s">
        <v>129</v>
      </c>
      <c r="C2" s="12" t="s">
        <v>77</v>
      </c>
      <c r="D2" s="12" t="s">
        <v>130</v>
      </c>
      <c r="E2" s="12" t="s">
        <v>76</v>
      </c>
      <c r="F2" s="13" t="s">
        <v>79</v>
      </c>
      <c r="G2" s="12" t="s">
        <v>131</v>
      </c>
      <c r="H2" s="12" t="s">
        <v>132</v>
      </c>
      <c r="I2" s="12" t="s">
        <v>133</v>
      </c>
      <c r="J2" s="12" t="s">
        <v>134</v>
      </c>
      <c r="K2" s="12" t="s">
        <v>135</v>
      </c>
      <c r="L2" s="13" t="n">
        <v>8</v>
      </c>
      <c r="M2" s="17" t="s">
        <v>136</v>
      </c>
      <c r="N2" s="12" t="s">
        <v>137</v>
      </c>
      <c r="O2" s="13" t="s">
        <v>138</v>
      </c>
    </row>
    <row r="3" customFormat="false" ht="75" hidden="false" customHeight="true" outlineLevel="0" collapsed="false">
      <c r="A3" s="11" t="s">
        <v>139</v>
      </c>
      <c r="B3" s="13" t="s">
        <v>129</v>
      </c>
      <c r="C3" s="12" t="s">
        <v>77</v>
      </c>
      <c r="D3" s="12" t="s">
        <v>140</v>
      </c>
      <c r="E3" s="12" t="s">
        <v>76</v>
      </c>
      <c r="F3" s="13" t="s">
        <v>79</v>
      </c>
      <c r="G3" s="12" t="s">
        <v>141</v>
      </c>
      <c r="H3" s="12" t="s">
        <v>142</v>
      </c>
      <c r="I3" s="12" t="s">
        <v>143</v>
      </c>
      <c r="J3" s="12" t="s">
        <v>144</v>
      </c>
      <c r="K3" s="12" t="s">
        <v>135</v>
      </c>
      <c r="L3" s="13" t="n">
        <v>8</v>
      </c>
      <c r="M3" s="17" t="s">
        <v>136</v>
      </c>
      <c r="N3" s="12" t="s">
        <v>145</v>
      </c>
      <c r="O3" s="13" t="s">
        <v>138</v>
      </c>
    </row>
    <row r="4" customFormat="false" ht="51.75" hidden="false" customHeight="true" outlineLevel="0" collapsed="false">
      <c r="A4" s="11" t="s">
        <v>146</v>
      </c>
      <c r="B4" s="13" t="s">
        <v>129</v>
      </c>
      <c r="C4" s="12" t="s">
        <v>77</v>
      </c>
      <c r="D4" s="12" t="s">
        <v>147</v>
      </c>
      <c r="E4" s="12" t="s">
        <v>76</v>
      </c>
      <c r="F4" s="13" t="s">
        <v>79</v>
      </c>
      <c r="G4" s="12" t="s">
        <v>148</v>
      </c>
      <c r="H4" s="12" t="s">
        <v>132</v>
      </c>
      <c r="I4" s="12" t="s">
        <v>149</v>
      </c>
      <c r="J4" s="12" t="s">
        <v>150</v>
      </c>
      <c r="K4" s="12" t="s">
        <v>135</v>
      </c>
      <c r="L4" s="13" t="n">
        <v>5</v>
      </c>
      <c r="M4" s="17" t="s">
        <v>136</v>
      </c>
      <c r="N4" s="12" t="s">
        <v>151</v>
      </c>
      <c r="O4" s="13" t="s">
        <v>138</v>
      </c>
    </row>
    <row r="5" customFormat="false" ht="51.75" hidden="false" customHeight="true" outlineLevel="0" collapsed="false">
      <c r="A5" s="11" t="s">
        <v>152</v>
      </c>
      <c r="B5" s="13" t="s">
        <v>129</v>
      </c>
      <c r="C5" s="12" t="s">
        <v>77</v>
      </c>
      <c r="D5" s="12" t="s">
        <v>153</v>
      </c>
      <c r="E5" s="12" t="s">
        <v>76</v>
      </c>
      <c r="F5" s="13" t="s">
        <v>79</v>
      </c>
      <c r="G5" s="12" t="s">
        <v>132</v>
      </c>
      <c r="H5" s="12" t="s">
        <v>132</v>
      </c>
      <c r="I5" s="12" t="s">
        <v>154</v>
      </c>
      <c r="J5" s="12" t="s">
        <v>155</v>
      </c>
      <c r="K5" s="12" t="s">
        <v>135</v>
      </c>
      <c r="L5" s="13" t="n">
        <v>3</v>
      </c>
      <c r="M5" s="18" t="s">
        <v>156</v>
      </c>
      <c r="N5" s="12" t="s">
        <v>128</v>
      </c>
      <c r="O5" s="13" t="s">
        <v>138</v>
      </c>
    </row>
    <row r="6" customFormat="false" ht="40.5" hidden="false" customHeight="true" outlineLevel="0" collapsed="false">
      <c r="A6" s="11" t="s">
        <v>157</v>
      </c>
      <c r="B6" s="13" t="s">
        <v>129</v>
      </c>
      <c r="C6" s="12" t="s">
        <v>77</v>
      </c>
      <c r="D6" s="12" t="s">
        <v>158</v>
      </c>
      <c r="E6" s="12" t="s">
        <v>76</v>
      </c>
      <c r="F6" s="13" t="s">
        <v>79</v>
      </c>
      <c r="G6" s="12" t="s">
        <v>159</v>
      </c>
      <c r="H6" s="12" t="s">
        <v>132</v>
      </c>
      <c r="I6" s="12" t="s">
        <v>160</v>
      </c>
      <c r="J6" s="12" t="s">
        <v>161</v>
      </c>
      <c r="K6" s="12" t="s">
        <v>135</v>
      </c>
      <c r="L6" s="13" t="n">
        <v>5</v>
      </c>
      <c r="M6" s="18" t="s">
        <v>156</v>
      </c>
      <c r="N6" s="12" t="s">
        <v>146</v>
      </c>
      <c r="O6" s="13" t="s">
        <v>138</v>
      </c>
    </row>
    <row r="7" customFormat="false" ht="97.5" hidden="false" customHeight="true" outlineLevel="0" collapsed="false">
      <c r="A7" s="11" t="s">
        <v>162</v>
      </c>
      <c r="B7" s="13" t="s">
        <v>129</v>
      </c>
      <c r="C7" s="12" t="s">
        <v>77</v>
      </c>
      <c r="D7" s="12" t="s">
        <v>163</v>
      </c>
      <c r="E7" s="12" t="s">
        <v>76</v>
      </c>
      <c r="F7" s="13" t="s">
        <v>79</v>
      </c>
      <c r="G7" s="12" t="s">
        <v>164</v>
      </c>
      <c r="H7" s="12" t="s">
        <v>132</v>
      </c>
      <c r="I7" s="12" t="s">
        <v>165</v>
      </c>
      <c r="J7" s="12" t="s">
        <v>166</v>
      </c>
      <c r="K7" s="12" t="s">
        <v>135</v>
      </c>
      <c r="L7" s="13" t="n">
        <v>5</v>
      </c>
      <c r="M7" s="18" t="s">
        <v>156</v>
      </c>
      <c r="N7" s="12" t="s">
        <v>146</v>
      </c>
      <c r="O7" s="13" t="s">
        <v>138</v>
      </c>
    </row>
    <row r="8" customFormat="false" ht="97.5" hidden="false" customHeight="true" outlineLevel="0" collapsed="false">
      <c r="A8" s="11" t="s">
        <v>167</v>
      </c>
      <c r="B8" s="13" t="s">
        <v>129</v>
      </c>
      <c r="C8" s="12" t="s">
        <v>81</v>
      </c>
      <c r="D8" s="12" t="s">
        <v>168</v>
      </c>
      <c r="E8" s="12" t="s">
        <v>80</v>
      </c>
      <c r="F8" s="13" t="s">
        <v>83</v>
      </c>
      <c r="G8" s="12" t="s">
        <v>169</v>
      </c>
      <c r="H8" s="12" t="s">
        <v>132</v>
      </c>
      <c r="I8" s="12" t="s">
        <v>170</v>
      </c>
      <c r="J8" s="12" t="s">
        <v>171</v>
      </c>
      <c r="K8" s="12" t="s">
        <v>135</v>
      </c>
      <c r="L8" s="13" t="n">
        <v>8</v>
      </c>
      <c r="M8" s="17" t="s">
        <v>136</v>
      </c>
      <c r="N8" s="12" t="s">
        <v>139</v>
      </c>
      <c r="O8" s="13" t="s">
        <v>138</v>
      </c>
    </row>
    <row r="9" customFormat="false" ht="75" hidden="false" customHeight="true" outlineLevel="0" collapsed="false">
      <c r="A9" s="11" t="s">
        <v>172</v>
      </c>
      <c r="B9" s="13" t="s">
        <v>129</v>
      </c>
      <c r="C9" s="12" t="s">
        <v>81</v>
      </c>
      <c r="D9" s="12" t="s">
        <v>173</v>
      </c>
      <c r="E9" s="12" t="s">
        <v>80</v>
      </c>
      <c r="F9" s="13" t="s">
        <v>83</v>
      </c>
      <c r="G9" s="12" t="s">
        <v>132</v>
      </c>
      <c r="H9" s="12" t="s">
        <v>132</v>
      </c>
      <c r="I9" s="12" t="s">
        <v>174</v>
      </c>
      <c r="J9" s="12" t="s">
        <v>175</v>
      </c>
      <c r="K9" s="12" t="s">
        <v>135</v>
      </c>
      <c r="L9" s="13" t="n">
        <v>5</v>
      </c>
      <c r="M9" s="19" t="s">
        <v>176</v>
      </c>
      <c r="N9" s="12" t="s">
        <v>167</v>
      </c>
      <c r="O9" s="13" t="s">
        <v>138</v>
      </c>
    </row>
    <row r="10" customFormat="false" ht="63" hidden="false" customHeight="true" outlineLevel="0" collapsed="false">
      <c r="A10" s="11" t="s">
        <v>177</v>
      </c>
      <c r="B10" s="13" t="s">
        <v>129</v>
      </c>
      <c r="C10" s="12" t="s">
        <v>81</v>
      </c>
      <c r="D10" s="12" t="s">
        <v>178</v>
      </c>
      <c r="E10" s="12" t="s">
        <v>80</v>
      </c>
      <c r="F10" s="13" t="s">
        <v>83</v>
      </c>
      <c r="G10" s="12" t="s">
        <v>179</v>
      </c>
      <c r="H10" s="12" t="s">
        <v>132</v>
      </c>
      <c r="I10" s="12" t="s">
        <v>180</v>
      </c>
      <c r="J10" s="12" t="s">
        <v>181</v>
      </c>
      <c r="K10" s="12" t="s">
        <v>135</v>
      </c>
      <c r="L10" s="13" t="n">
        <v>5</v>
      </c>
      <c r="M10" s="19" t="s">
        <v>176</v>
      </c>
      <c r="N10" s="12" t="s">
        <v>167</v>
      </c>
      <c r="O10" s="13" t="s">
        <v>138</v>
      </c>
    </row>
    <row r="11" customFormat="false" ht="97.5" hidden="false" customHeight="true" outlineLevel="0" collapsed="false">
      <c r="A11" s="11" t="s">
        <v>182</v>
      </c>
      <c r="B11" s="13" t="s">
        <v>129</v>
      </c>
      <c r="C11" s="12" t="s">
        <v>81</v>
      </c>
      <c r="D11" s="12" t="s">
        <v>183</v>
      </c>
      <c r="E11" s="12" t="s">
        <v>80</v>
      </c>
      <c r="F11" s="13" t="s">
        <v>83</v>
      </c>
      <c r="G11" s="12" t="s">
        <v>184</v>
      </c>
      <c r="H11" s="12" t="s">
        <v>185</v>
      </c>
      <c r="I11" s="12" t="s">
        <v>186</v>
      </c>
      <c r="J11" s="12" t="s">
        <v>187</v>
      </c>
      <c r="K11" s="12" t="s">
        <v>135</v>
      </c>
      <c r="L11" s="13" t="n">
        <v>8</v>
      </c>
      <c r="M11" s="17" t="s">
        <v>136</v>
      </c>
      <c r="N11" s="12" t="s">
        <v>188</v>
      </c>
      <c r="O11" s="13" t="s">
        <v>138</v>
      </c>
    </row>
    <row r="12" customFormat="false" ht="51.75" hidden="false" customHeight="true" outlineLevel="0" collapsed="false">
      <c r="A12" s="11" t="s">
        <v>189</v>
      </c>
      <c r="B12" s="13" t="s">
        <v>129</v>
      </c>
      <c r="C12" s="12" t="s">
        <v>81</v>
      </c>
      <c r="D12" s="12" t="s">
        <v>190</v>
      </c>
      <c r="E12" s="12" t="s">
        <v>80</v>
      </c>
      <c r="F12" s="13" t="s">
        <v>83</v>
      </c>
      <c r="G12" s="12" t="s">
        <v>132</v>
      </c>
      <c r="H12" s="12" t="s">
        <v>132</v>
      </c>
      <c r="I12" s="12" t="s">
        <v>191</v>
      </c>
      <c r="J12" s="12" t="s">
        <v>192</v>
      </c>
      <c r="K12" s="12" t="s">
        <v>135</v>
      </c>
      <c r="L12" s="13" t="n">
        <v>5</v>
      </c>
      <c r="M12" s="19" t="s">
        <v>176</v>
      </c>
      <c r="N12" s="12" t="s">
        <v>182</v>
      </c>
      <c r="O12" s="13" t="s">
        <v>138</v>
      </c>
    </row>
    <row r="13" customFormat="false" ht="97.5" hidden="false" customHeight="true" outlineLevel="0" collapsed="false">
      <c r="A13" s="11" t="s">
        <v>193</v>
      </c>
      <c r="B13" s="13" t="s">
        <v>129</v>
      </c>
      <c r="C13" s="12" t="s">
        <v>81</v>
      </c>
      <c r="D13" s="12" t="s">
        <v>194</v>
      </c>
      <c r="E13" s="12" t="s">
        <v>80</v>
      </c>
      <c r="F13" s="13" t="s">
        <v>83</v>
      </c>
      <c r="G13" s="12" t="s">
        <v>195</v>
      </c>
      <c r="H13" s="12" t="s">
        <v>132</v>
      </c>
      <c r="I13" s="12" t="s">
        <v>196</v>
      </c>
      <c r="J13" s="12" t="s">
        <v>197</v>
      </c>
      <c r="K13" s="12" t="s">
        <v>135</v>
      </c>
      <c r="L13" s="13" t="n">
        <v>5</v>
      </c>
      <c r="M13" s="18" t="s">
        <v>156</v>
      </c>
      <c r="N13" s="12" t="s">
        <v>146</v>
      </c>
      <c r="O13" s="13" t="s">
        <v>138</v>
      </c>
    </row>
    <row r="14" customFormat="false" ht="120.75" hidden="false" customHeight="true" outlineLevel="0" collapsed="false">
      <c r="A14" s="11" t="s">
        <v>198</v>
      </c>
      <c r="B14" s="13" t="s">
        <v>129</v>
      </c>
      <c r="C14" s="12" t="s">
        <v>199</v>
      </c>
      <c r="D14" s="12" t="s">
        <v>200</v>
      </c>
      <c r="E14" s="12" t="s">
        <v>84</v>
      </c>
      <c r="F14" s="13" t="s">
        <v>87</v>
      </c>
      <c r="G14" s="12" t="s">
        <v>201</v>
      </c>
      <c r="H14" s="12" t="s">
        <v>132</v>
      </c>
      <c r="I14" s="12" t="s">
        <v>202</v>
      </c>
      <c r="J14" s="12" t="s">
        <v>203</v>
      </c>
      <c r="K14" s="12" t="s">
        <v>135</v>
      </c>
      <c r="L14" s="13" t="n">
        <v>8</v>
      </c>
      <c r="M14" s="17" t="s">
        <v>136</v>
      </c>
      <c r="N14" s="12" t="s">
        <v>204</v>
      </c>
      <c r="O14" s="13" t="s">
        <v>138</v>
      </c>
    </row>
    <row r="15" customFormat="false" ht="75" hidden="false" customHeight="true" outlineLevel="0" collapsed="false">
      <c r="A15" s="11" t="s">
        <v>205</v>
      </c>
      <c r="B15" s="13" t="s">
        <v>129</v>
      </c>
      <c r="C15" s="12" t="s">
        <v>85</v>
      </c>
      <c r="D15" s="12" t="s">
        <v>206</v>
      </c>
      <c r="E15" s="12" t="s">
        <v>84</v>
      </c>
      <c r="F15" s="13" t="s">
        <v>87</v>
      </c>
      <c r="G15" s="12" t="s">
        <v>132</v>
      </c>
      <c r="H15" s="12" t="s">
        <v>132</v>
      </c>
      <c r="I15" s="12" t="s">
        <v>207</v>
      </c>
      <c r="J15" s="12" t="s">
        <v>208</v>
      </c>
      <c r="K15" s="12" t="s">
        <v>135</v>
      </c>
      <c r="L15" s="13" t="n">
        <v>5</v>
      </c>
      <c r="M15" s="17" t="s">
        <v>136</v>
      </c>
      <c r="N15" s="12" t="s">
        <v>198</v>
      </c>
      <c r="O15" s="13" t="s">
        <v>138</v>
      </c>
    </row>
    <row r="16" customFormat="false" ht="86.25" hidden="false" customHeight="true" outlineLevel="0" collapsed="false">
      <c r="A16" s="11" t="s">
        <v>209</v>
      </c>
      <c r="B16" s="13" t="s">
        <v>129</v>
      </c>
      <c r="C16" s="12" t="s">
        <v>85</v>
      </c>
      <c r="D16" s="12" t="s">
        <v>210</v>
      </c>
      <c r="E16" s="12" t="s">
        <v>84</v>
      </c>
      <c r="F16" s="13" t="s">
        <v>87</v>
      </c>
      <c r="G16" s="12" t="s">
        <v>211</v>
      </c>
      <c r="H16" s="12" t="s">
        <v>212</v>
      </c>
      <c r="I16" s="12" t="s">
        <v>213</v>
      </c>
      <c r="J16" s="12" t="s">
        <v>214</v>
      </c>
      <c r="K16" s="12" t="s">
        <v>135</v>
      </c>
      <c r="L16" s="13" t="n">
        <v>8</v>
      </c>
      <c r="M16" s="17" t="s">
        <v>136</v>
      </c>
      <c r="N16" s="12" t="s">
        <v>182</v>
      </c>
      <c r="O16" s="13" t="s">
        <v>138</v>
      </c>
    </row>
    <row r="17" customFormat="false" ht="75" hidden="false" customHeight="true" outlineLevel="0" collapsed="false">
      <c r="A17" s="11" t="s">
        <v>215</v>
      </c>
      <c r="B17" s="13" t="s">
        <v>129</v>
      </c>
      <c r="C17" s="12" t="s">
        <v>85</v>
      </c>
      <c r="D17" s="12" t="s">
        <v>216</v>
      </c>
      <c r="E17" s="12" t="s">
        <v>84</v>
      </c>
      <c r="F17" s="13" t="s">
        <v>87</v>
      </c>
      <c r="G17" s="12" t="s">
        <v>217</v>
      </c>
      <c r="H17" s="12" t="s">
        <v>132</v>
      </c>
      <c r="I17" s="12" t="s">
        <v>218</v>
      </c>
      <c r="J17" s="12" t="s">
        <v>219</v>
      </c>
      <c r="K17" s="12" t="s">
        <v>135</v>
      </c>
      <c r="L17" s="13" t="n">
        <v>5</v>
      </c>
      <c r="M17" s="19" t="s">
        <v>176</v>
      </c>
      <c r="N17" s="12" t="s">
        <v>205</v>
      </c>
      <c r="O17" s="13" t="s">
        <v>138</v>
      </c>
    </row>
    <row r="18" customFormat="false" ht="63" hidden="false" customHeight="true" outlineLevel="0" collapsed="false">
      <c r="A18" s="11" t="s">
        <v>220</v>
      </c>
      <c r="B18" s="13" t="s">
        <v>129</v>
      </c>
      <c r="C18" s="12" t="s">
        <v>85</v>
      </c>
      <c r="D18" s="12" t="s">
        <v>221</v>
      </c>
      <c r="E18" s="12" t="s">
        <v>84</v>
      </c>
      <c r="F18" s="13" t="s">
        <v>87</v>
      </c>
      <c r="G18" s="12" t="s">
        <v>222</v>
      </c>
      <c r="H18" s="12" t="s">
        <v>132</v>
      </c>
      <c r="I18" s="12" t="s">
        <v>223</v>
      </c>
      <c r="J18" s="12" t="s">
        <v>224</v>
      </c>
      <c r="K18" s="12" t="s">
        <v>135</v>
      </c>
      <c r="L18" s="13" t="n">
        <v>5</v>
      </c>
      <c r="M18" s="18" t="s">
        <v>156</v>
      </c>
      <c r="N18" s="12" t="s">
        <v>209</v>
      </c>
      <c r="O18" s="13" t="s">
        <v>138</v>
      </c>
    </row>
    <row r="19" customFormat="false" ht="63" hidden="false" customHeight="true" outlineLevel="0" collapsed="false">
      <c r="A19" s="11" t="s">
        <v>225</v>
      </c>
      <c r="B19" s="13" t="s">
        <v>129</v>
      </c>
      <c r="C19" s="12" t="s">
        <v>85</v>
      </c>
      <c r="D19" s="12" t="s">
        <v>226</v>
      </c>
      <c r="E19" s="12" t="s">
        <v>84</v>
      </c>
      <c r="F19" s="13" t="s">
        <v>87</v>
      </c>
      <c r="G19" s="12" t="s">
        <v>132</v>
      </c>
      <c r="H19" s="12" t="s">
        <v>132</v>
      </c>
      <c r="I19" s="12" t="s">
        <v>227</v>
      </c>
      <c r="J19" s="12" t="s">
        <v>228</v>
      </c>
      <c r="K19" s="12" t="s">
        <v>135</v>
      </c>
      <c r="L19" s="13" t="n">
        <v>5</v>
      </c>
      <c r="M19" s="18" t="s">
        <v>156</v>
      </c>
      <c r="N19" s="12" t="s">
        <v>229</v>
      </c>
      <c r="O19" s="13" t="s">
        <v>138</v>
      </c>
    </row>
    <row r="20" customFormat="false" ht="75" hidden="false" customHeight="true" outlineLevel="0" collapsed="false">
      <c r="A20" s="11" t="s">
        <v>230</v>
      </c>
      <c r="B20" s="13" t="s">
        <v>129</v>
      </c>
      <c r="C20" s="12" t="s">
        <v>89</v>
      </c>
      <c r="D20" s="12" t="s">
        <v>231</v>
      </c>
      <c r="E20" s="12" t="s">
        <v>88</v>
      </c>
      <c r="F20" s="13" t="s">
        <v>91</v>
      </c>
      <c r="G20" s="12" t="s">
        <v>232</v>
      </c>
      <c r="H20" s="12" t="s">
        <v>132</v>
      </c>
      <c r="I20" s="12" t="s">
        <v>233</v>
      </c>
      <c r="J20" s="12" t="s">
        <v>234</v>
      </c>
      <c r="K20" s="12" t="s">
        <v>135</v>
      </c>
      <c r="L20" s="13" t="n">
        <v>5</v>
      </c>
      <c r="M20" s="17" t="s">
        <v>136</v>
      </c>
      <c r="N20" s="12" t="s">
        <v>209</v>
      </c>
      <c r="O20" s="13" t="s">
        <v>138</v>
      </c>
    </row>
    <row r="21" customFormat="false" ht="97.5" hidden="false" customHeight="true" outlineLevel="0" collapsed="false">
      <c r="A21" s="11" t="s">
        <v>235</v>
      </c>
      <c r="B21" s="13" t="s">
        <v>129</v>
      </c>
      <c r="C21" s="12" t="s">
        <v>89</v>
      </c>
      <c r="D21" s="12" t="s">
        <v>236</v>
      </c>
      <c r="E21" s="12" t="s">
        <v>88</v>
      </c>
      <c r="F21" s="13" t="s">
        <v>91</v>
      </c>
      <c r="G21" s="12" t="s">
        <v>237</v>
      </c>
      <c r="H21" s="12" t="s">
        <v>238</v>
      </c>
      <c r="I21" s="12" t="s">
        <v>239</v>
      </c>
      <c r="J21" s="12" t="s">
        <v>240</v>
      </c>
      <c r="K21" s="12" t="s">
        <v>135</v>
      </c>
      <c r="L21" s="13" t="n">
        <v>8</v>
      </c>
      <c r="M21" s="17" t="s">
        <v>136</v>
      </c>
      <c r="N21" s="12" t="s">
        <v>241</v>
      </c>
      <c r="O21" s="13" t="s">
        <v>138</v>
      </c>
    </row>
    <row r="22" customFormat="false" ht="63" hidden="false" customHeight="true" outlineLevel="0" collapsed="false">
      <c r="A22" s="11" t="s">
        <v>242</v>
      </c>
      <c r="B22" s="13" t="s">
        <v>129</v>
      </c>
      <c r="C22" s="12" t="s">
        <v>89</v>
      </c>
      <c r="D22" s="12" t="s">
        <v>243</v>
      </c>
      <c r="E22" s="12" t="s">
        <v>88</v>
      </c>
      <c r="F22" s="13" t="s">
        <v>91</v>
      </c>
      <c r="G22" s="12" t="s">
        <v>132</v>
      </c>
      <c r="H22" s="12" t="s">
        <v>132</v>
      </c>
      <c r="I22" s="12" t="s">
        <v>244</v>
      </c>
      <c r="J22" s="12" t="s">
        <v>245</v>
      </c>
      <c r="K22" s="12" t="s">
        <v>135</v>
      </c>
      <c r="L22" s="13" t="n">
        <v>5</v>
      </c>
      <c r="M22" s="19" t="s">
        <v>176</v>
      </c>
      <c r="N22" s="12" t="s">
        <v>246</v>
      </c>
      <c r="O22" s="13" t="s">
        <v>138</v>
      </c>
    </row>
    <row r="23" customFormat="false" ht="28.5" hidden="false" customHeight="true" outlineLevel="0" collapsed="false">
      <c r="A23" s="11" t="s">
        <v>247</v>
      </c>
      <c r="B23" s="13" t="s">
        <v>129</v>
      </c>
      <c r="C23" s="12" t="s">
        <v>89</v>
      </c>
      <c r="D23" s="12" t="s">
        <v>248</v>
      </c>
      <c r="E23" s="12" t="s">
        <v>88</v>
      </c>
      <c r="F23" s="13" t="s">
        <v>91</v>
      </c>
      <c r="G23" s="12" t="s">
        <v>132</v>
      </c>
      <c r="H23" s="12" t="s">
        <v>132</v>
      </c>
      <c r="I23" s="12" t="s">
        <v>249</v>
      </c>
      <c r="J23" s="12" t="s">
        <v>250</v>
      </c>
      <c r="K23" s="12" t="s">
        <v>135</v>
      </c>
      <c r="L23" s="13" t="n">
        <v>3</v>
      </c>
      <c r="M23" s="20" t="s">
        <v>251</v>
      </c>
      <c r="N23" s="12" t="s">
        <v>235</v>
      </c>
      <c r="O23" s="13" t="s">
        <v>138</v>
      </c>
    </row>
    <row r="24" customFormat="false" ht="97.5" hidden="false" customHeight="true" outlineLevel="0" collapsed="false">
      <c r="A24" s="11" t="s">
        <v>252</v>
      </c>
      <c r="B24" s="13" t="s">
        <v>129</v>
      </c>
      <c r="C24" s="12" t="s">
        <v>93</v>
      </c>
      <c r="D24" s="12" t="s">
        <v>253</v>
      </c>
      <c r="E24" s="12" t="s">
        <v>92</v>
      </c>
      <c r="F24" s="13" t="s">
        <v>95</v>
      </c>
      <c r="G24" s="12" t="s">
        <v>254</v>
      </c>
      <c r="H24" s="12" t="s">
        <v>132</v>
      </c>
      <c r="I24" s="12" t="s">
        <v>255</v>
      </c>
      <c r="J24" s="12" t="s">
        <v>256</v>
      </c>
      <c r="K24" s="12" t="s">
        <v>135</v>
      </c>
      <c r="L24" s="13" t="n">
        <v>8</v>
      </c>
      <c r="M24" s="17" t="s">
        <v>136</v>
      </c>
      <c r="N24" s="12" t="s">
        <v>257</v>
      </c>
      <c r="O24" s="13" t="s">
        <v>138</v>
      </c>
    </row>
    <row r="25" customFormat="false" ht="97.5" hidden="false" customHeight="true" outlineLevel="0" collapsed="false">
      <c r="A25" s="11" t="s">
        <v>258</v>
      </c>
      <c r="B25" s="13" t="s">
        <v>129</v>
      </c>
      <c r="C25" s="12" t="s">
        <v>93</v>
      </c>
      <c r="D25" s="12" t="s">
        <v>259</v>
      </c>
      <c r="E25" s="12" t="s">
        <v>92</v>
      </c>
      <c r="F25" s="13" t="s">
        <v>95</v>
      </c>
      <c r="G25" s="12" t="s">
        <v>260</v>
      </c>
      <c r="H25" s="12" t="s">
        <v>261</v>
      </c>
      <c r="I25" s="12" t="s">
        <v>262</v>
      </c>
      <c r="J25" s="12" t="s">
        <v>263</v>
      </c>
      <c r="K25" s="12" t="s">
        <v>135</v>
      </c>
      <c r="L25" s="13" t="n">
        <v>8</v>
      </c>
      <c r="M25" s="17" t="s">
        <v>136</v>
      </c>
      <c r="N25" s="12" t="s">
        <v>264</v>
      </c>
      <c r="O25" s="13" t="s">
        <v>138</v>
      </c>
    </row>
    <row r="26" customFormat="false" ht="75" hidden="false" customHeight="true" outlineLevel="0" collapsed="false">
      <c r="A26" s="11" t="s">
        <v>265</v>
      </c>
      <c r="B26" s="13" t="s">
        <v>129</v>
      </c>
      <c r="C26" s="12" t="s">
        <v>93</v>
      </c>
      <c r="D26" s="12" t="s">
        <v>266</v>
      </c>
      <c r="E26" s="12" t="s">
        <v>92</v>
      </c>
      <c r="F26" s="13" t="s">
        <v>95</v>
      </c>
      <c r="G26" s="12" t="s">
        <v>267</v>
      </c>
      <c r="H26" s="12" t="s">
        <v>132</v>
      </c>
      <c r="I26" s="12" t="s">
        <v>268</v>
      </c>
      <c r="J26" s="12" t="s">
        <v>269</v>
      </c>
      <c r="K26" s="12" t="s">
        <v>135</v>
      </c>
      <c r="L26" s="13" t="n">
        <v>5</v>
      </c>
      <c r="M26" s="19" t="s">
        <v>176</v>
      </c>
      <c r="N26" s="12" t="s">
        <v>258</v>
      </c>
      <c r="O26" s="13" t="s">
        <v>138</v>
      </c>
    </row>
    <row r="27" customFormat="false" ht="97.5" hidden="false" customHeight="true" outlineLevel="0" collapsed="false">
      <c r="A27" s="11" t="s">
        <v>270</v>
      </c>
      <c r="B27" s="13" t="s">
        <v>129</v>
      </c>
      <c r="C27" s="12" t="s">
        <v>93</v>
      </c>
      <c r="D27" s="12" t="s">
        <v>271</v>
      </c>
      <c r="E27" s="12" t="s">
        <v>92</v>
      </c>
      <c r="F27" s="13" t="s">
        <v>95</v>
      </c>
      <c r="G27" s="12" t="s">
        <v>272</v>
      </c>
      <c r="H27" s="12" t="s">
        <v>132</v>
      </c>
      <c r="I27" s="12" t="s">
        <v>273</v>
      </c>
      <c r="J27" s="12" t="s">
        <v>274</v>
      </c>
      <c r="K27" s="12" t="s">
        <v>135</v>
      </c>
      <c r="L27" s="13" t="n">
        <v>8</v>
      </c>
      <c r="M27" s="17" t="s">
        <v>136</v>
      </c>
      <c r="N27" s="12" t="s">
        <v>258</v>
      </c>
      <c r="O27" s="13" t="s">
        <v>138</v>
      </c>
    </row>
    <row r="28" customFormat="false" ht="40.5" hidden="false" customHeight="true" outlineLevel="0" collapsed="false">
      <c r="A28" s="11" t="s">
        <v>275</v>
      </c>
      <c r="B28" s="13" t="s">
        <v>129</v>
      </c>
      <c r="C28" s="12" t="s">
        <v>93</v>
      </c>
      <c r="D28" s="12" t="s">
        <v>276</v>
      </c>
      <c r="E28" s="12" t="s">
        <v>92</v>
      </c>
      <c r="F28" s="13" t="s">
        <v>95</v>
      </c>
      <c r="G28" s="12" t="s">
        <v>277</v>
      </c>
      <c r="H28" s="12" t="s">
        <v>132</v>
      </c>
      <c r="I28" s="12" t="s">
        <v>278</v>
      </c>
      <c r="J28" s="12" t="s">
        <v>279</v>
      </c>
      <c r="K28" s="12" t="s">
        <v>135</v>
      </c>
      <c r="L28" s="13" t="n">
        <v>5</v>
      </c>
      <c r="M28" s="19" t="s">
        <v>176</v>
      </c>
      <c r="N28" s="12" t="s">
        <v>270</v>
      </c>
      <c r="O28" s="13" t="s">
        <v>138</v>
      </c>
    </row>
    <row r="29" customFormat="false" ht="63" hidden="false" customHeight="true" outlineLevel="0" collapsed="false">
      <c r="A29" s="11" t="s">
        <v>280</v>
      </c>
      <c r="B29" s="13" t="s">
        <v>129</v>
      </c>
      <c r="C29" s="12" t="s">
        <v>93</v>
      </c>
      <c r="D29" s="12" t="s">
        <v>281</v>
      </c>
      <c r="E29" s="12" t="s">
        <v>92</v>
      </c>
      <c r="F29" s="13" t="s">
        <v>95</v>
      </c>
      <c r="G29" s="12" t="s">
        <v>132</v>
      </c>
      <c r="H29" s="12" t="s">
        <v>132</v>
      </c>
      <c r="I29" s="12" t="s">
        <v>282</v>
      </c>
      <c r="J29" s="12" t="s">
        <v>283</v>
      </c>
      <c r="K29" s="12" t="s">
        <v>135</v>
      </c>
      <c r="L29" s="13" t="n">
        <v>5</v>
      </c>
      <c r="M29" s="18" t="s">
        <v>156</v>
      </c>
      <c r="N29" s="12" t="s">
        <v>265</v>
      </c>
      <c r="O29" s="13" t="s">
        <v>138</v>
      </c>
    </row>
    <row r="30" customFormat="false" ht="75" hidden="false" customHeight="true" outlineLevel="0" collapsed="false">
      <c r="A30" s="11" t="s">
        <v>284</v>
      </c>
      <c r="B30" s="13" t="s">
        <v>129</v>
      </c>
      <c r="C30" s="12" t="s">
        <v>285</v>
      </c>
      <c r="D30" s="12" t="s">
        <v>286</v>
      </c>
      <c r="E30" s="12" t="s">
        <v>96</v>
      </c>
      <c r="F30" s="13" t="s">
        <v>91</v>
      </c>
      <c r="G30" s="12" t="s">
        <v>287</v>
      </c>
      <c r="H30" s="12" t="s">
        <v>132</v>
      </c>
      <c r="I30" s="12" t="s">
        <v>288</v>
      </c>
      <c r="J30" s="12" t="s">
        <v>289</v>
      </c>
      <c r="K30" s="12" t="s">
        <v>135</v>
      </c>
      <c r="L30" s="13" t="n">
        <v>8</v>
      </c>
      <c r="M30" s="17" t="s">
        <v>136</v>
      </c>
      <c r="N30" s="12" t="s">
        <v>290</v>
      </c>
      <c r="O30" s="13" t="s">
        <v>138</v>
      </c>
    </row>
    <row r="31" customFormat="false" ht="75" hidden="false" customHeight="true" outlineLevel="0" collapsed="false">
      <c r="A31" s="11" t="s">
        <v>291</v>
      </c>
      <c r="B31" s="13" t="s">
        <v>129</v>
      </c>
      <c r="C31" s="12" t="s">
        <v>285</v>
      </c>
      <c r="D31" s="12" t="s">
        <v>292</v>
      </c>
      <c r="E31" s="12" t="s">
        <v>96</v>
      </c>
      <c r="F31" s="13" t="s">
        <v>91</v>
      </c>
      <c r="G31" s="12" t="s">
        <v>293</v>
      </c>
      <c r="H31" s="12" t="s">
        <v>132</v>
      </c>
      <c r="I31" s="12" t="s">
        <v>294</v>
      </c>
      <c r="J31" s="12" t="s">
        <v>295</v>
      </c>
      <c r="K31" s="12" t="s">
        <v>135</v>
      </c>
      <c r="L31" s="13" t="n">
        <v>8</v>
      </c>
      <c r="M31" s="17" t="s">
        <v>136</v>
      </c>
      <c r="N31" s="12" t="s">
        <v>296</v>
      </c>
      <c r="O31" s="13" t="s">
        <v>138</v>
      </c>
    </row>
    <row r="32" customFormat="false" ht="75" hidden="false" customHeight="true" outlineLevel="0" collapsed="false">
      <c r="A32" s="11" t="s">
        <v>297</v>
      </c>
      <c r="B32" s="13" t="s">
        <v>129</v>
      </c>
      <c r="C32" s="12" t="s">
        <v>285</v>
      </c>
      <c r="D32" s="12" t="s">
        <v>298</v>
      </c>
      <c r="E32" s="12" t="s">
        <v>96</v>
      </c>
      <c r="F32" s="13" t="s">
        <v>91</v>
      </c>
      <c r="G32" s="12" t="s">
        <v>299</v>
      </c>
      <c r="H32" s="12" t="s">
        <v>132</v>
      </c>
      <c r="I32" s="12" t="s">
        <v>300</v>
      </c>
      <c r="J32" s="12" t="s">
        <v>301</v>
      </c>
      <c r="K32" s="12" t="s">
        <v>135</v>
      </c>
      <c r="L32" s="13" t="n">
        <v>5</v>
      </c>
      <c r="M32" s="19" t="s">
        <v>176</v>
      </c>
      <c r="N32" s="12" t="s">
        <v>284</v>
      </c>
      <c r="O32" s="13" t="s">
        <v>138</v>
      </c>
    </row>
    <row r="33" customFormat="false" ht="51.75" hidden="false" customHeight="true" outlineLevel="0" collapsed="false">
      <c r="A33" s="11" t="s">
        <v>302</v>
      </c>
      <c r="B33" s="13" t="s">
        <v>129</v>
      </c>
      <c r="C33" s="12" t="s">
        <v>285</v>
      </c>
      <c r="D33" s="12" t="s">
        <v>303</v>
      </c>
      <c r="E33" s="12" t="s">
        <v>96</v>
      </c>
      <c r="F33" s="13" t="s">
        <v>91</v>
      </c>
      <c r="G33" s="12" t="s">
        <v>132</v>
      </c>
      <c r="H33" s="12" t="s">
        <v>132</v>
      </c>
      <c r="I33" s="12" t="s">
        <v>304</v>
      </c>
      <c r="J33" s="12" t="s">
        <v>305</v>
      </c>
      <c r="K33" s="12" t="s">
        <v>135</v>
      </c>
      <c r="L33" s="13" t="n">
        <v>3</v>
      </c>
      <c r="M33" s="18" t="s">
        <v>156</v>
      </c>
      <c r="N33" s="12" t="s">
        <v>291</v>
      </c>
      <c r="O33" s="13" t="s">
        <v>138</v>
      </c>
    </row>
    <row r="34" customFormat="false" ht="75" hidden="false" customHeight="true" outlineLevel="0" collapsed="false">
      <c r="A34" s="14" t="s">
        <v>306</v>
      </c>
      <c r="B34" s="16" t="s">
        <v>307</v>
      </c>
      <c r="C34" s="15" t="s">
        <v>308</v>
      </c>
      <c r="D34" s="15" t="s">
        <v>309</v>
      </c>
      <c r="E34" s="15" t="s">
        <v>99</v>
      </c>
      <c r="F34" s="16" t="s">
        <v>87</v>
      </c>
      <c r="G34" s="15" t="s">
        <v>132</v>
      </c>
      <c r="H34" s="15" t="s">
        <v>132</v>
      </c>
      <c r="I34" s="15" t="s">
        <v>310</v>
      </c>
      <c r="J34" s="15" t="s">
        <v>311</v>
      </c>
      <c r="K34" s="15" t="s">
        <v>135</v>
      </c>
      <c r="L34" s="16" t="n">
        <v>5</v>
      </c>
      <c r="M34" s="17" t="s">
        <v>136</v>
      </c>
      <c r="N34" s="15" t="s">
        <v>312</v>
      </c>
      <c r="O34" s="16" t="s">
        <v>138</v>
      </c>
    </row>
    <row r="35" customFormat="false" ht="97.5" hidden="false" customHeight="true" outlineLevel="0" collapsed="false">
      <c r="A35" s="14" t="s">
        <v>313</v>
      </c>
      <c r="B35" s="16" t="s">
        <v>307</v>
      </c>
      <c r="C35" s="15" t="s">
        <v>308</v>
      </c>
      <c r="D35" s="15" t="s">
        <v>314</v>
      </c>
      <c r="E35" s="15" t="s">
        <v>99</v>
      </c>
      <c r="F35" s="16" t="s">
        <v>87</v>
      </c>
      <c r="G35" s="15" t="s">
        <v>132</v>
      </c>
      <c r="H35" s="15" t="s">
        <v>132</v>
      </c>
      <c r="I35" s="15" t="s">
        <v>315</v>
      </c>
      <c r="J35" s="15" t="s">
        <v>316</v>
      </c>
      <c r="K35" s="15" t="s">
        <v>135</v>
      </c>
      <c r="L35" s="16" t="n">
        <v>8</v>
      </c>
      <c r="M35" s="17" t="s">
        <v>136</v>
      </c>
      <c r="N35" s="15" t="s">
        <v>317</v>
      </c>
      <c r="O35" s="16" t="s">
        <v>138</v>
      </c>
    </row>
    <row r="36" customFormat="false" ht="75" hidden="false" customHeight="true" outlineLevel="0" collapsed="false">
      <c r="A36" s="14" t="s">
        <v>318</v>
      </c>
      <c r="B36" s="16" t="s">
        <v>307</v>
      </c>
      <c r="C36" s="15" t="s">
        <v>308</v>
      </c>
      <c r="D36" s="15" t="s">
        <v>319</v>
      </c>
      <c r="E36" s="15" t="s">
        <v>99</v>
      </c>
      <c r="F36" s="16" t="s">
        <v>87</v>
      </c>
      <c r="G36" s="15" t="s">
        <v>132</v>
      </c>
      <c r="H36" s="15" t="s">
        <v>132</v>
      </c>
      <c r="I36" s="15" t="s">
        <v>320</v>
      </c>
      <c r="J36" s="15" t="s">
        <v>321</v>
      </c>
      <c r="K36" s="15" t="s">
        <v>135</v>
      </c>
      <c r="L36" s="16" t="n">
        <v>8</v>
      </c>
      <c r="M36" s="17" t="s">
        <v>136</v>
      </c>
      <c r="N36" s="15" t="s">
        <v>209</v>
      </c>
      <c r="O36" s="16" t="s">
        <v>138</v>
      </c>
    </row>
    <row r="37" customFormat="false" ht="97.5" hidden="false" customHeight="true" outlineLevel="0" collapsed="false">
      <c r="A37" s="14" t="s">
        <v>322</v>
      </c>
      <c r="B37" s="16" t="s">
        <v>307</v>
      </c>
      <c r="C37" s="15" t="s">
        <v>308</v>
      </c>
      <c r="D37" s="15" t="s">
        <v>323</v>
      </c>
      <c r="E37" s="15" t="s">
        <v>99</v>
      </c>
      <c r="F37" s="16" t="s">
        <v>87</v>
      </c>
      <c r="G37" s="15" t="s">
        <v>132</v>
      </c>
      <c r="H37" s="15" t="s">
        <v>132</v>
      </c>
      <c r="I37" s="15" t="s">
        <v>324</v>
      </c>
      <c r="J37" s="15" t="s">
        <v>325</v>
      </c>
      <c r="K37" s="15" t="s">
        <v>135</v>
      </c>
      <c r="L37" s="16" t="n">
        <v>8</v>
      </c>
      <c r="M37" s="17" t="s">
        <v>136</v>
      </c>
      <c r="N37" s="15" t="s">
        <v>318</v>
      </c>
      <c r="O37" s="16" t="s">
        <v>138</v>
      </c>
    </row>
    <row r="38" customFormat="false" ht="86.25" hidden="false" customHeight="true" outlineLevel="0" collapsed="false">
      <c r="A38" s="14" t="s">
        <v>326</v>
      </c>
      <c r="B38" s="16" t="s">
        <v>307</v>
      </c>
      <c r="C38" s="15" t="s">
        <v>308</v>
      </c>
      <c r="D38" s="15" t="s">
        <v>327</v>
      </c>
      <c r="E38" s="15" t="s">
        <v>99</v>
      </c>
      <c r="F38" s="16" t="s">
        <v>95</v>
      </c>
      <c r="G38" s="15" t="s">
        <v>132</v>
      </c>
      <c r="H38" s="15" t="s">
        <v>132</v>
      </c>
      <c r="I38" s="15" t="s">
        <v>328</v>
      </c>
      <c r="J38" s="15" t="s">
        <v>329</v>
      </c>
      <c r="K38" s="15" t="s">
        <v>135</v>
      </c>
      <c r="L38" s="16" t="n">
        <v>5</v>
      </c>
      <c r="M38" s="17" t="s">
        <v>136</v>
      </c>
      <c r="N38" s="15" t="s">
        <v>258</v>
      </c>
      <c r="O38" s="16" t="s">
        <v>138</v>
      </c>
    </row>
    <row r="39" customFormat="false" ht="51.75" hidden="false" customHeight="true" outlineLevel="0" collapsed="false">
      <c r="A39" s="14" t="s">
        <v>330</v>
      </c>
      <c r="B39" s="16" t="s">
        <v>307</v>
      </c>
      <c r="C39" s="15" t="s">
        <v>308</v>
      </c>
      <c r="D39" s="15" t="s">
        <v>331</v>
      </c>
      <c r="E39" s="15" t="s">
        <v>99</v>
      </c>
      <c r="F39" s="16" t="s">
        <v>87</v>
      </c>
      <c r="G39" s="15" t="s">
        <v>132</v>
      </c>
      <c r="H39" s="15" t="s">
        <v>132</v>
      </c>
      <c r="I39" s="15" t="s">
        <v>332</v>
      </c>
      <c r="J39" s="15" t="s">
        <v>333</v>
      </c>
      <c r="K39" s="15" t="s">
        <v>135</v>
      </c>
      <c r="L39" s="16" t="n">
        <v>3</v>
      </c>
      <c r="M39" s="19" t="s">
        <v>176</v>
      </c>
      <c r="N39" s="15" t="s">
        <v>205</v>
      </c>
      <c r="O39" s="16" t="s">
        <v>138</v>
      </c>
    </row>
    <row r="40" customFormat="false" ht="63" hidden="false" customHeight="true" outlineLevel="0" collapsed="false">
      <c r="A40" s="14" t="s">
        <v>334</v>
      </c>
      <c r="B40" s="16" t="s">
        <v>307</v>
      </c>
      <c r="C40" s="15" t="s">
        <v>308</v>
      </c>
      <c r="D40" s="15" t="s">
        <v>335</v>
      </c>
      <c r="E40" s="15" t="s">
        <v>99</v>
      </c>
      <c r="F40" s="16" t="s">
        <v>87</v>
      </c>
      <c r="G40" s="15" t="s">
        <v>132</v>
      </c>
      <c r="H40" s="15" t="s">
        <v>132</v>
      </c>
      <c r="I40" s="15" t="s">
        <v>336</v>
      </c>
      <c r="J40" s="15" t="s">
        <v>337</v>
      </c>
      <c r="K40" s="15" t="s">
        <v>135</v>
      </c>
      <c r="L40" s="16" t="n">
        <v>3</v>
      </c>
      <c r="M40" s="18" t="s">
        <v>156</v>
      </c>
      <c r="N40" s="15" t="s">
        <v>220</v>
      </c>
      <c r="O40" s="16" t="s">
        <v>138</v>
      </c>
    </row>
    <row r="41" customFormat="false" ht="75" hidden="false" customHeight="true" outlineLevel="0" collapsed="false">
      <c r="A41" s="14" t="s">
        <v>338</v>
      </c>
      <c r="B41" s="16" t="s">
        <v>307</v>
      </c>
      <c r="C41" s="15" t="s">
        <v>308</v>
      </c>
      <c r="D41" s="15" t="s">
        <v>339</v>
      </c>
      <c r="E41" s="15" t="s">
        <v>99</v>
      </c>
      <c r="F41" s="16" t="s">
        <v>83</v>
      </c>
      <c r="G41" s="15" t="s">
        <v>132</v>
      </c>
      <c r="H41" s="15" t="s">
        <v>132</v>
      </c>
      <c r="I41" s="15" t="s">
        <v>340</v>
      </c>
      <c r="J41" s="15" t="s">
        <v>341</v>
      </c>
      <c r="K41" s="15" t="s">
        <v>135</v>
      </c>
      <c r="L41" s="16" t="n">
        <v>5</v>
      </c>
      <c r="M41" s="17" t="s">
        <v>136</v>
      </c>
      <c r="N41" s="15" t="s">
        <v>182</v>
      </c>
      <c r="O41" s="16" t="s">
        <v>138</v>
      </c>
    </row>
    <row r="42" customFormat="false" ht="63" hidden="false" customHeight="true" outlineLevel="0" collapsed="false">
      <c r="A42" s="14" t="s">
        <v>342</v>
      </c>
      <c r="B42" s="16" t="s">
        <v>307</v>
      </c>
      <c r="C42" s="15" t="s">
        <v>308</v>
      </c>
      <c r="D42" s="15" t="s">
        <v>343</v>
      </c>
      <c r="E42" s="15" t="s">
        <v>99</v>
      </c>
      <c r="F42" s="16" t="s">
        <v>87</v>
      </c>
      <c r="G42" s="15" t="s">
        <v>132</v>
      </c>
      <c r="H42" s="15" t="s">
        <v>132</v>
      </c>
      <c r="I42" s="15" t="s">
        <v>344</v>
      </c>
      <c r="J42" s="15" t="s">
        <v>345</v>
      </c>
      <c r="K42" s="15" t="s">
        <v>135</v>
      </c>
      <c r="L42" s="16" t="n">
        <v>5</v>
      </c>
      <c r="M42" s="18" t="s">
        <v>156</v>
      </c>
      <c r="N42" s="15" t="s">
        <v>225</v>
      </c>
      <c r="O42" s="16" t="s">
        <v>138</v>
      </c>
    </row>
    <row r="43" customFormat="false" ht="97.5" hidden="false" customHeight="true" outlineLevel="0" collapsed="false">
      <c r="A43" s="14" t="s">
        <v>346</v>
      </c>
      <c r="B43" s="16" t="s">
        <v>307</v>
      </c>
      <c r="C43" s="15" t="s">
        <v>308</v>
      </c>
      <c r="D43" s="15" t="s">
        <v>347</v>
      </c>
      <c r="E43" s="15" t="s">
        <v>99</v>
      </c>
      <c r="F43" s="16" t="s">
        <v>95</v>
      </c>
      <c r="G43" s="15" t="s">
        <v>132</v>
      </c>
      <c r="H43" s="15" t="s">
        <v>132</v>
      </c>
      <c r="I43" s="15" t="s">
        <v>348</v>
      </c>
      <c r="J43" s="15" t="s">
        <v>349</v>
      </c>
      <c r="K43" s="15" t="s">
        <v>135</v>
      </c>
      <c r="L43" s="16" t="n">
        <v>8</v>
      </c>
      <c r="M43" s="17" t="s">
        <v>136</v>
      </c>
      <c r="N43" s="15" t="s">
        <v>270</v>
      </c>
      <c r="O43" s="16" t="s">
        <v>138</v>
      </c>
    </row>
    <row r="44" customFormat="false" ht="86.25" hidden="false" customHeight="true" outlineLevel="0" collapsed="false">
      <c r="A44" s="14" t="s">
        <v>350</v>
      </c>
      <c r="B44" s="16" t="s">
        <v>307</v>
      </c>
      <c r="C44" s="15" t="s">
        <v>104</v>
      </c>
      <c r="D44" s="15" t="s">
        <v>351</v>
      </c>
      <c r="E44" s="15" t="s">
        <v>103</v>
      </c>
      <c r="F44" s="16" t="s">
        <v>83</v>
      </c>
      <c r="G44" s="15" t="s">
        <v>132</v>
      </c>
      <c r="H44" s="15" t="s">
        <v>132</v>
      </c>
      <c r="I44" s="15" t="s">
        <v>352</v>
      </c>
      <c r="J44" s="15" t="s">
        <v>353</v>
      </c>
      <c r="K44" s="15" t="s">
        <v>135</v>
      </c>
      <c r="L44" s="16" t="n">
        <v>5</v>
      </c>
      <c r="M44" s="17" t="s">
        <v>136</v>
      </c>
      <c r="N44" s="15" t="s">
        <v>354</v>
      </c>
      <c r="O44" s="16" t="s">
        <v>138</v>
      </c>
    </row>
    <row r="45" customFormat="false" ht="97.5" hidden="false" customHeight="true" outlineLevel="0" collapsed="false">
      <c r="A45" s="14" t="s">
        <v>355</v>
      </c>
      <c r="B45" s="16" t="s">
        <v>307</v>
      </c>
      <c r="C45" s="15" t="s">
        <v>104</v>
      </c>
      <c r="D45" s="15" t="s">
        <v>356</v>
      </c>
      <c r="E45" s="15" t="s">
        <v>103</v>
      </c>
      <c r="F45" s="16" t="s">
        <v>83</v>
      </c>
      <c r="G45" s="15" t="s">
        <v>132</v>
      </c>
      <c r="H45" s="15" t="s">
        <v>132</v>
      </c>
      <c r="I45" s="15" t="s">
        <v>357</v>
      </c>
      <c r="J45" s="15" t="s">
        <v>358</v>
      </c>
      <c r="K45" s="15" t="s">
        <v>135</v>
      </c>
      <c r="L45" s="16" t="n">
        <v>8</v>
      </c>
      <c r="M45" s="17" t="s">
        <v>136</v>
      </c>
      <c r="N45" s="15" t="s">
        <v>167</v>
      </c>
      <c r="O45" s="16" t="s">
        <v>138</v>
      </c>
    </row>
    <row r="46" customFormat="false" ht="51.75" hidden="false" customHeight="true" outlineLevel="0" collapsed="false">
      <c r="A46" s="14" t="s">
        <v>359</v>
      </c>
      <c r="B46" s="16" t="s">
        <v>307</v>
      </c>
      <c r="C46" s="15" t="s">
        <v>104</v>
      </c>
      <c r="D46" s="15" t="s">
        <v>360</v>
      </c>
      <c r="E46" s="15" t="s">
        <v>103</v>
      </c>
      <c r="F46" s="16" t="s">
        <v>83</v>
      </c>
      <c r="G46" s="15" t="s">
        <v>132</v>
      </c>
      <c r="H46" s="15" t="s">
        <v>132</v>
      </c>
      <c r="I46" s="15" t="s">
        <v>361</v>
      </c>
      <c r="J46" s="15" t="s">
        <v>362</v>
      </c>
      <c r="K46" s="15" t="s">
        <v>135</v>
      </c>
      <c r="L46" s="16" t="n">
        <v>5</v>
      </c>
      <c r="M46" s="19" t="s">
        <v>176</v>
      </c>
      <c r="N46" s="15" t="s">
        <v>172</v>
      </c>
      <c r="O46" s="16" t="s">
        <v>138</v>
      </c>
    </row>
    <row r="47" customFormat="false" ht="51.75" hidden="false" customHeight="true" outlineLevel="0" collapsed="false">
      <c r="A47" s="14" t="s">
        <v>363</v>
      </c>
      <c r="B47" s="16" t="s">
        <v>307</v>
      </c>
      <c r="C47" s="15" t="s">
        <v>104</v>
      </c>
      <c r="D47" s="15" t="s">
        <v>178</v>
      </c>
      <c r="E47" s="15" t="s">
        <v>103</v>
      </c>
      <c r="F47" s="16" t="s">
        <v>83</v>
      </c>
      <c r="G47" s="15" t="s">
        <v>132</v>
      </c>
      <c r="H47" s="15" t="s">
        <v>132</v>
      </c>
      <c r="I47" s="15" t="s">
        <v>364</v>
      </c>
      <c r="J47" s="15" t="s">
        <v>365</v>
      </c>
      <c r="K47" s="15" t="s">
        <v>135</v>
      </c>
      <c r="L47" s="16" t="n">
        <v>5</v>
      </c>
      <c r="M47" s="19" t="s">
        <v>176</v>
      </c>
      <c r="N47" s="15" t="s">
        <v>177</v>
      </c>
      <c r="O47" s="16" t="s">
        <v>138</v>
      </c>
    </row>
    <row r="48" customFormat="false" ht="97.5" hidden="false" customHeight="true" outlineLevel="0" collapsed="false">
      <c r="A48" s="14" t="s">
        <v>366</v>
      </c>
      <c r="B48" s="16" t="s">
        <v>307</v>
      </c>
      <c r="C48" s="15" t="s">
        <v>104</v>
      </c>
      <c r="D48" s="15" t="s">
        <v>367</v>
      </c>
      <c r="E48" s="15" t="s">
        <v>103</v>
      </c>
      <c r="F48" s="16" t="s">
        <v>83</v>
      </c>
      <c r="G48" s="15" t="s">
        <v>132</v>
      </c>
      <c r="H48" s="15" t="s">
        <v>132</v>
      </c>
      <c r="I48" s="15" t="s">
        <v>368</v>
      </c>
      <c r="J48" s="15" t="s">
        <v>369</v>
      </c>
      <c r="K48" s="15" t="s">
        <v>135</v>
      </c>
      <c r="L48" s="16" t="n">
        <v>8</v>
      </c>
      <c r="M48" s="17" t="s">
        <v>136</v>
      </c>
      <c r="N48" s="15" t="s">
        <v>182</v>
      </c>
      <c r="O48" s="16" t="s">
        <v>138</v>
      </c>
    </row>
    <row r="49" customFormat="false" ht="51.75" hidden="false" customHeight="true" outlineLevel="0" collapsed="false">
      <c r="A49" s="14" t="s">
        <v>370</v>
      </c>
      <c r="B49" s="16" t="s">
        <v>307</v>
      </c>
      <c r="C49" s="15" t="s">
        <v>104</v>
      </c>
      <c r="D49" s="15" t="s">
        <v>371</v>
      </c>
      <c r="E49" s="15" t="s">
        <v>103</v>
      </c>
      <c r="F49" s="16" t="s">
        <v>83</v>
      </c>
      <c r="G49" s="15" t="s">
        <v>132</v>
      </c>
      <c r="H49" s="15" t="s">
        <v>132</v>
      </c>
      <c r="I49" s="15" t="s">
        <v>372</v>
      </c>
      <c r="J49" s="15" t="s">
        <v>373</v>
      </c>
      <c r="K49" s="15" t="s">
        <v>135</v>
      </c>
      <c r="L49" s="16" t="n">
        <v>5</v>
      </c>
      <c r="M49" s="18" t="s">
        <v>156</v>
      </c>
      <c r="N49" s="15" t="s">
        <v>374</v>
      </c>
      <c r="O49" s="16" t="s">
        <v>138</v>
      </c>
    </row>
    <row r="50" customFormat="false" ht="51.75" hidden="false" customHeight="true" outlineLevel="0" collapsed="false">
      <c r="A50" s="14" t="s">
        <v>375</v>
      </c>
      <c r="B50" s="16" t="s">
        <v>307</v>
      </c>
      <c r="C50" s="15" t="s">
        <v>104</v>
      </c>
      <c r="D50" s="15" t="s">
        <v>376</v>
      </c>
      <c r="E50" s="15" t="s">
        <v>103</v>
      </c>
      <c r="F50" s="16" t="s">
        <v>79</v>
      </c>
      <c r="G50" s="15" t="s">
        <v>132</v>
      </c>
      <c r="H50" s="15" t="s">
        <v>132</v>
      </c>
      <c r="I50" s="15" t="s">
        <v>377</v>
      </c>
      <c r="J50" s="15" t="s">
        <v>378</v>
      </c>
      <c r="K50" s="15" t="s">
        <v>135</v>
      </c>
      <c r="L50" s="16" t="n">
        <v>5</v>
      </c>
      <c r="M50" s="18" t="s">
        <v>156</v>
      </c>
      <c r="N50" s="15" t="s">
        <v>162</v>
      </c>
      <c r="O50" s="16" t="s">
        <v>138</v>
      </c>
    </row>
    <row r="51" customFormat="false" ht="63" hidden="false" customHeight="true" outlineLevel="0" collapsed="false">
      <c r="A51" s="14" t="s">
        <v>379</v>
      </c>
      <c r="B51" s="16" t="s">
        <v>307</v>
      </c>
      <c r="C51" s="15" t="s">
        <v>380</v>
      </c>
      <c r="D51" s="15" t="s">
        <v>381</v>
      </c>
      <c r="E51" s="15" t="s">
        <v>107</v>
      </c>
      <c r="F51" s="16" t="s">
        <v>87</v>
      </c>
      <c r="G51" s="15" t="s">
        <v>132</v>
      </c>
      <c r="H51" s="15" t="s">
        <v>132</v>
      </c>
      <c r="I51" s="15" t="s">
        <v>382</v>
      </c>
      <c r="J51" s="15" t="s">
        <v>383</v>
      </c>
      <c r="K51" s="15" t="s">
        <v>135</v>
      </c>
      <c r="L51" s="16" t="n">
        <v>5</v>
      </c>
      <c r="M51" s="19" t="s">
        <v>176</v>
      </c>
      <c r="N51" s="15" t="s">
        <v>215</v>
      </c>
      <c r="O51" s="16" t="s">
        <v>138</v>
      </c>
    </row>
    <row r="52" customFormat="false" ht="86.25" hidden="false" customHeight="true" outlineLevel="0" collapsed="false">
      <c r="A52" s="14" t="s">
        <v>384</v>
      </c>
      <c r="B52" s="16" t="s">
        <v>307</v>
      </c>
      <c r="C52" s="15" t="s">
        <v>380</v>
      </c>
      <c r="D52" s="15" t="s">
        <v>385</v>
      </c>
      <c r="E52" s="15" t="s">
        <v>107</v>
      </c>
      <c r="F52" s="16" t="s">
        <v>87</v>
      </c>
      <c r="G52" s="15" t="s">
        <v>132</v>
      </c>
      <c r="H52" s="15" t="s">
        <v>132</v>
      </c>
      <c r="I52" s="15" t="s">
        <v>386</v>
      </c>
      <c r="J52" s="15" t="s">
        <v>387</v>
      </c>
      <c r="K52" s="15" t="s">
        <v>135</v>
      </c>
      <c r="L52" s="16" t="n">
        <v>8</v>
      </c>
      <c r="M52" s="17" t="s">
        <v>136</v>
      </c>
      <c r="N52" s="15" t="s">
        <v>209</v>
      </c>
      <c r="O52" s="16" t="s">
        <v>138</v>
      </c>
    </row>
    <row r="53" customFormat="false" ht="28.5" hidden="false" customHeight="true" outlineLevel="0" collapsed="false">
      <c r="A53" s="14" t="s">
        <v>388</v>
      </c>
      <c r="B53" s="16" t="s">
        <v>307</v>
      </c>
      <c r="C53" s="15" t="s">
        <v>380</v>
      </c>
      <c r="D53" s="15" t="s">
        <v>389</v>
      </c>
      <c r="E53" s="15" t="s">
        <v>107</v>
      </c>
      <c r="F53" s="16" t="s">
        <v>95</v>
      </c>
      <c r="G53" s="15" t="s">
        <v>132</v>
      </c>
      <c r="H53" s="15" t="s">
        <v>132</v>
      </c>
      <c r="I53" s="15" t="s">
        <v>390</v>
      </c>
      <c r="J53" s="15" t="s">
        <v>391</v>
      </c>
      <c r="K53" s="15" t="s">
        <v>135</v>
      </c>
      <c r="L53" s="16" t="n">
        <v>3</v>
      </c>
      <c r="M53" s="17" t="s">
        <v>136</v>
      </c>
      <c r="N53" s="15" t="s">
        <v>258</v>
      </c>
      <c r="O53" s="16" t="s">
        <v>138</v>
      </c>
    </row>
    <row r="54" customFormat="false" ht="28.5" hidden="false" customHeight="true" outlineLevel="0" collapsed="false">
      <c r="A54" s="14" t="s">
        <v>392</v>
      </c>
      <c r="B54" s="16" t="s">
        <v>307</v>
      </c>
      <c r="C54" s="15" t="s">
        <v>380</v>
      </c>
      <c r="D54" s="15" t="s">
        <v>393</v>
      </c>
      <c r="E54" s="15" t="s">
        <v>107</v>
      </c>
      <c r="F54" s="16" t="s">
        <v>91</v>
      </c>
      <c r="G54" s="15" t="s">
        <v>132</v>
      </c>
      <c r="H54" s="15" t="s">
        <v>132</v>
      </c>
      <c r="I54" s="15" t="s">
        <v>394</v>
      </c>
      <c r="J54" s="15" t="s">
        <v>395</v>
      </c>
      <c r="K54" s="15" t="s">
        <v>135</v>
      </c>
      <c r="L54" s="16" t="n">
        <v>3</v>
      </c>
      <c r="M54" s="18" t="s">
        <v>156</v>
      </c>
      <c r="N54" s="15" t="s">
        <v>230</v>
      </c>
      <c r="O54" s="16" t="s">
        <v>138</v>
      </c>
    </row>
    <row r="55" customFormat="false" ht="51.75" hidden="false" customHeight="true" outlineLevel="0" collapsed="false">
      <c r="A55" s="14" t="s">
        <v>396</v>
      </c>
      <c r="B55" s="16" t="s">
        <v>307</v>
      </c>
      <c r="C55" s="15" t="s">
        <v>380</v>
      </c>
      <c r="D55" s="15" t="s">
        <v>397</v>
      </c>
      <c r="E55" s="15" t="s">
        <v>107</v>
      </c>
      <c r="F55" s="16" t="s">
        <v>95</v>
      </c>
      <c r="G55" s="15" t="s">
        <v>132</v>
      </c>
      <c r="H55" s="15" t="s">
        <v>132</v>
      </c>
      <c r="I55" s="15" t="s">
        <v>398</v>
      </c>
      <c r="J55" s="15" t="s">
        <v>399</v>
      </c>
      <c r="K55" s="15" t="s">
        <v>135</v>
      </c>
      <c r="L55" s="16" t="n">
        <v>5</v>
      </c>
      <c r="M55" s="18" t="s">
        <v>156</v>
      </c>
      <c r="N55" s="15" t="s">
        <v>280</v>
      </c>
      <c r="O55" s="16" t="s">
        <v>138</v>
      </c>
    </row>
    <row r="56" customFormat="false" ht="86.25" hidden="false" customHeight="true" outlineLevel="0" collapsed="false">
      <c r="A56" s="14" t="s">
        <v>400</v>
      </c>
      <c r="B56" s="16" t="s">
        <v>307</v>
      </c>
      <c r="C56" s="15" t="s">
        <v>380</v>
      </c>
      <c r="D56" s="15" t="s">
        <v>401</v>
      </c>
      <c r="E56" s="15" t="s">
        <v>107</v>
      </c>
      <c r="F56" s="16" t="s">
        <v>91</v>
      </c>
      <c r="G56" s="15" t="s">
        <v>132</v>
      </c>
      <c r="H56" s="15" t="s">
        <v>132</v>
      </c>
      <c r="I56" s="15" t="s">
        <v>402</v>
      </c>
      <c r="J56" s="15" t="s">
        <v>403</v>
      </c>
      <c r="K56" s="15" t="s">
        <v>135</v>
      </c>
      <c r="L56" s="16" t="n">
        <v>8</v>
      </c>
      <c r="M56" s="17" t="s">
        <v>136</v>
      </c>
      <c r="N56" s="15" t="s">
        <v>404</v>
      </c>
      <c r="O56" s="16" t="s">
        <v>138</v>
      </c>
    </row>
    <row r="57" customFormat="false" ht="51.75" hidden="false" customHeight="true" outlineLevel="0" collapsed="false">
      <c r="A57" s="14" t="s">
        <v>405</v>
      </c>
      <c r="B57" s="16" t="s">
        <v>307</v>
      </c>
      <c r="C57" s="15" t="s">
        <v>308</v>
      </c>
      <c r="D57" s="15" t="s">
        <v>406</v>
      </c>
      <c r="E57" s="15" t="s">
        <v>107</v>
      </c>
      <c r="F57" s="16" t="s">
        <v>91</v>
      </c>
      <c r="G57" s="15" t="s">
        <v>132</v>
      </c>
      <c r="H57" s="15" t="s">
        <v>132</v>
      </c>
      <c r="I57" s="15" t="s">
        <v>407</v>
      </c>
      <c r="J57" s="15" t="s">
        <v>408</v>
      </c>
      <c r="K57" s="15" t="s">
        <v>135</v>
      </c>
      <c r="L57" s="16" t="n">
        <v>8</v>
      </c>
      <c r="M57" s="17" t="s">
        <v>136</v>
      </c>
      <c r="N57" s="15" t="s">
        <v>400</v>
      </c>
      <c r="O57" s="16" t="s">
        <v>138</v>
      </c>
    </row>
    <row r="58" customFormat="false" ht="40.5" hidden="false" customHeight="true" outlineLevel="0" collapsed="false">
      <c r="A58" s="14" t="s">
        <v>409</v>
      </c>
      <c r="B58" s="16" t="s">
        <v>307</v>
      </c>
      <c r="C58" s="15" t="s">
        <v>410</v>
      </c>
      <c r="D58" s="15" t="s">
        <v>411</v>
      </c>
      <c r="E58" s="15" t="s">
        <v>111</v>
      </c>
      <c r="F58" s="16" t="s">
        <v>79</v>
      </c>
      <c r="G58" s="15" t="s">
        <v>132</v>
      </c>
      <c r="H58" s="15" t="s">
        <v>132</v>
      </c>
      <c r="I58" s="15" t="s">
        <v>412</v>
      </c>
      <c r="J58" s="15" t="s">
        <v>413</v>
      </c>
      <c r="K58" s="15" t="s">
        <v>135</v>
      </c>
      <c r="L58" s="16" t="n">
        <v>8</v>
      </c>
      <c r="M58" s="19" t="s">
        <v>176</v>
      </c>
      <c r="N58" s="15" t="s">
        <v>414</v>
      </c>
      <c r="O58" s="16" t="s">
        <v>138</v>
      </c>
    </row>
    <row r="59" customFormat="false" ht="51.75" hidden="false" customHeight="true" outlineLevel="0" collapsed="false">
      <c r="A59" s="14" t="s">
        <v>415</v>
      </c>
      <c r="B59" s="16" t="s">
        <v>307</v>
      </c>
      <c r="C59" s="15" t="s">
        <v>410</v>
      </c>
      <c r="D59" s="15" t="s">
        <v>416</v>
      </c>
      <c r="E59" s="15" t="s">
        <v>111</v>
      </c>
      <c r="F59" s="16" t="s">
        <v>87</v>
      </c>
      <c r="G59" s="15" t="s">
        <v>132</v>
      </c>
      <c r="H59" s="15" t="s">
        <v>132</v>
      </c>
      <c r="I59" s="15" t="s">
        <v>417</v>
      </c>
      <c r="J59" s="15" t="s">
        <v>418</v>
      </c>
      <c r="K59" s="15" t="s">
        <v>135</v>
      </c>
      <c r="L59" s="16" t="n">
        <v>5</v>
      </c>
      <c r="M59" s="17" t="s">
        <v>136</v>
      </c>
      <c r="N59" s="15" t="s">
        <v>198</v>
      </c>
      <c r="O59" s="16" t="s">
        <v>138</v>
      </c>
    </row>
    <row r="60" customFormat="false" ht="109.5" hidden="false" customHeight="true" outlineLevel="0" collapsed="false">
      <c r="A60" s="14" t="s">
        <v>419</v>
      </c>
      <c r="B60" s="16" t="s">
        <v>307</v>
      </c>
      <c r="C60" s="15" t="s">
        <v>410</v>
      </c>
      <c r="D60" s="15" t="s">
        <v>420</v>
      </c>
      <c r="E60" s="15" t="s">
        <v>111</v>
      </c>
      <c r="F60" s="16" t="s">
        <v>87</v>
      </c>
      <c r="G60" s="15" t="s">
        <v>132</v>
      </c>
      <c r="H60" s="15" t="s">
        <v>132</v>
      </c>
      <c r="I60" s="15" t="s">
        <v>421</v>
      </c>
      <c r="J60" s="15" t="s">
        <v>422</v>
      </c>
      <c r="K60" s="15" t="s">
        <v>135</v>
      </c>
      <c r="L60" s="16" t="n">
        <v>8</v>
      </c>
      <c r="M60" s="19" t="s">
        <v>176</v>
      </c>
      <c r="N60" s="15" t="s">
        <v>423</v>
      </c>
      <c r="O60" s="16" t="s">
        <v>138</v>
      </c>
    </row>
    <row r="61" customFormat="false" ht="86.25" hidden="false" customHeight="true" outlineLevel="0" collapsed="false">
      <c r="A61" s="14" t="s">
        <v>424</v>
      </c>
      <c r="B61" s="16" t="s">
        <v>307</v>
      </c>
      <c r="C61" s="15" t="s">
        <v>410</v>
      </c>
      <c r="D61" s="15" t="s">
        <v>425</v>
      </c>
      <c r="E61" s="15" t="s">
        <v>111</v>
      </c>
      <c r="F61" s="16" t="s">
        <v>87</v>
      </c>
      <c r="G61" s="15" t="s">
        <v>132</v>
      </c>
      <c r="H61" s="15" t="s">
        <v>132</v>
      </c>
      <c r="I61" s="15" t="s">
        <v>426</v>
      </c>
      <c r="J61" s="15" t="s">
        <v>427</v>
      </c>
      <c r="K61" s="15" t="s">
        <v>135</v>
      </c>
      <c r="L61" s="16" t="n">
        <v>8</v>
      </c>
      <c r="M61" s="19" t="s">
        <v>176</v>
      </c>
      <c r="N61" s="15" t="s">
        <v>265</v>
      </c>
      <c r="O61" s="16" t="s">
        <v>138</v>
      </c>
    </row>
    <row r="62" customFormat="false" ht="75" hidden="false" customHeight="true" outlineLevel="0" collapsed="false">
      <c r="A62" s="14" t="s">
        <v>428</v>
      </c>
      <c r="B62" s="16" t="s">
        <v>307</v>
      </c>
      <c r="C62" s="15" t="s">
        <v>410</v>
      </c>
      <c r="D62" s="15" t="s">
        <v>429</v>
      </c>
      <c r="E62" s="15" t="s">
        <v>111</v>
      </c>
      <c r="F62" s="16" t="s">
        <v>91</v>
      </c>
      <c r="G62" s="15" t="s">
        <v>132</v>
      </c>
      <c r="H62" s="15" t="s">
        <v>132</v>
      </c>
      <c r="I62" s="15" t="s">
        <v>430</v>
      </c>
      <c r="J62" s="15" t="s">
        <v>431</v>
      </c>
      <c r="K62" s="15" t="s">
        <v>135</v>
      </c>
      <c r="L62" s="16" t="n">
        <v>5</v>
      </c>
      <c r="M62" s="17" t="s">
        <v>136</v>
      </c>
      <c r="N62" s="15" t="s">
        <v>230</v>
      </c>
      <c r="O62" s="16" t="s">
        <v>138</v>
      </c>
    </row>
    <row r="63" customFormat="false" ht="75" hidden="false" customHeight="true" outlineLevel="0" collapsed="false">
      <c r="A63" s="14" t="s">
        <v>432</v>
      </c>
      <c r="B63" s="16" t="s">
        <v>307</v>
      </c>
      <c r="C63" s="15" t="s">
        <v>410</v>
      </c>
      <c r="D63" s="15" t="s">
        <v>433</v>
      </c>
      <c r="E63" s="15" t="s">
        <v>111</v>
      </c>
      <c r="F63" s="16" t="s">
        <v>95</v>
      </c>
      <c r="G63" s="15" t="s">
        <v>132</v>
      </c>
      <c r="H63" s="15" t="s">
        <v>132</v>
      </c>
      <c r="I63" s="15" t="s">
        <v>434</v>
      </c>
      <c r="J63" s="15" t="s">
        <v>435</v>
      </c>
      <c r="K63" s="15" t="s">
        <v>135</v>
      </c>
      <c r="L63" s="16" t="n">
        <v>8</v>
      </c>
      <c r="M63" s="19" t="s">
        <v>176</v>
      </c>
      <c r="N63" s="15" t="s">
        <v>436</v>
      </c>
      <c r="O63" s="16" t="s">
        <v>138</v>
      </c>
    </row>
  </sheetData>
  <autoFilter ref="A1:O63"/>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M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16"/>
  </cols>
  <sheetData>
    <row r="1" customFormat="false" ht="17.35" hidden="false" customHeight="false" outlineLevel="0" collapsed="false">
      <c r="A1" s="21" t="s">
        <v>437</v>
      </c>
    </row>
    <row r="2" customFormat="false" ht="30" hidden="false" customHeight="true" outlineLevel="0" collapsed="false">
      <c r="A2" s="2" t="s">
        <v>12</v>
      </c>
      <c r="B2" s="2"/>
      <c r="C2" s="2"/>
      <c r="D2" s="2"/>
      <c r="E2" s="2"/>
      <c r="F2" s="2"/>
      <c r="G2" s="2"/>
      <c r="H2" s="2"/>
    </row>
    <row r="4" customFormat="false" ht="15" hidden="false" customHeight="false" outlineLevel="0" collapsed="false">
      <c r="A4" s="22" t="s">
        <v>438</v>
      </c>
    </row>
    <row r="5" customFormat="false" ht="21.75" hidden="false" customHeight="true" outlineLevel="0" collapsed="false">
      <c r="A5" s="23"/>
      <c r="B5" s="24" t="s">
        <v>129</v>
      </c>
      <c r="C5" s="24" t="s">
        <v>307</v>
      </c>
      <c r="D5" s="25" t="s">
        <v>439</v>
      </c>
    </row>
    <row r="6" customFormat="false" ht="15" hidden="false" customHeight="false" outlineLevel="0" collapsed="false">
      <c r="A6" s="26" t="s">
        <v>79</v>
      </c>
      <c r="B6" s="27" t="n">
        <f aca="false">SUMIFS(Backlog!$L$2:$L$63,Backlog!$F$2:$F$63,"SP-09",Backlog!$B$2:$B$63,"Backend")</f>
        <v>34</v>
      </c>
      <c r="C6" s="27" t="n">
        <f aca="false">SUMIFS(Backlog!$L$2:$L$63,Backlog!$F$2:$F$63,"SP-09",Backlog!$B$2:$B$63,"Frontend")</f>
        <v>13</v>
      </c>
      <c r="D6" s="28" t="n">
        <f aca="false">SUM(B6:C6)</f>
        <v>47</v>
      </c>
    </row>
    <row r="7" customFormat="false" ht="15" hidden="false" customHeight="false" outlineLevel="0" collapsed="false">
      <c r="A7" s="29" t="s">
        <v>83</v>
      </c>
      <c r="B7" s="30" t="n">
        <f aca="false">SUMIFS(Backlog!$L$2:$L$63,Backlog!$F$2:$F$63,"SP-10",Backlog!$B$2:$B$63,"Backend")</f>
        <v>36</v>
      </c>
      <c r="C7" s="30" t="n">
        <f aca="false">SUMIFS(Backlog!$L$2:$L$63,Backlog!$F$2:$F$63,"SP-10",Backlog!$B$2:$B$63,"Frontend")</f>
        <v>41</v>
      </c>
      <c r="D7" s="31" t="n">
        <f aca="false">SUM(B7:C7)</f>
        <v>77</v>
      </c>
    </row>
    <row r="8" customFormat="false" ht="15" hidden="false" customHeight="false" outlineLevel="0" collapsed="false">
      <c r="A8" s="26" t="s">
        <v>87</v>
      </c>
      <c r="B8" s="27" t="n">
        <f aca="false">SUMIFS(Backlog!$L$2:$L$63,Backlog!$F$2:$F$63,"SP-11",Backlog!$B$2:$B$63,"Backend")</f>
        <v>36</v>
      </c>
      <c r="C8" s="27" t="n">
        <f aca="false">SUMIFS(Backlog!$L$2:$L$63,Backlog!$F$2:$F$63,"SP-11",Backlog!$B$2:$B$63,"Frontend")</f>
        <v>74</v>
      </c>
      <c r="D8" s="28" t="n">
        <f aca="false">SUM(B8:C8)</f>
        <v>110</v>
      </c>
    </row>
    <row r="9" customFormat="false" ht="15" hidden="false" customHeight="false" outlineLevel="0" collapsed="false">
      <c r="A9" s="29" t="s">
        <v>91</v>
      </c>
      <c r="B9" s="30" t="n">
        <f aca="false">SUMIFS(Backlog!$L$2:$L$63,Backlog!$F$2:$F$63,"SP-12",Backlog!$B$2:$B$63,"Backend")</f>
        <v>45</v>
      </c>
      <c r="C9" s="30" t="n">
        <f aca="false">SUMIFS(Backlog!$L$2:$L$63,Backlog!$F$2:$F$63,"SP-12",Backlog!$B$2:$B$63,"Frontend")</f>
        <v>24</v>
      </c>
      <c r="D9" s="31" t="n">
        <f aca="false">SUM(B9:C9)</f>
        <v>69</v>
      </c>
    </row>
    <row r="10" customFormat="false" ht="15" hidden="false" customHeight="false" outlineLevel="0" collapsed="false">
      <c r="A10" s="26" t="s">
        <v>95</v>
      </c>
      <c r="B10" s="27" t="n">
        <f aca="false">SUMIFS(Backlog!$L$2:$L$63,Backlog!$F$2:$F$63,"SP-13",Backlog!$B$2:$B$63,"Backend")</f>
        <v>39</v>
      </c>
      <c r="C10" s="27" t="n">
        <f aca="false">SUMIFS(Backlog!$L$2:$L$63,Backlog!$F$2:$F$63,"SP-13",Backlog!$B$2:$B$63,"Frontend")</f>
        <v>29</v>
      </c>
      <c r="D10" s="28" t="n">
        <f aca="false">SUM(B10:C10)</f>
        <v>68</v>
      </c>
    </row>
    <row r="11" customFormat="false" ht="15" hidden="false" customHeight="false" outlineLevel="0" collapsed="false">
      <c r="A11" s="9" t="s">
        <v>439</v>
      </c>
      <c r="B11" s="32" t="n">
        <f aca="false">SUM(B6:B10)</f>
        <v>190</v>
      </c>
      <c r="C11" s="32" t="n">
        <f aca="false">SUM(C6:C10)</f>
        <v>181</v>
      </c>
      <c r="D11" s="32" t="n">
        <f aca="false">SUM(D6:D10)</f>
        <v>371</v>
      </c>
    </row>
    <row r="14" customFormat="false" ht="15" hidden="false" customHeight="false" outlineLevel="0" collapsed="false">
      <c r="A14" s="22" t="s">
        <v>440</v>
      </c>
    </row>
    <row r="15" customFormat="false" ht="21.75" hidden="false" customHeight="true" outlineLevel="0" collapsed="false">
      <c r="A15" s="23"/>
      <c r="B15" s="24" t="s">
        <v>129</v>
      </c>
      <c r="C15" s="24" t="s">
        <v>307</v>
      </c>
      <c r="D15" s="25" t="s">
        <v>439</v>
      </c>
    </row>
    <row r="16" customFormat="false" ht="15" hidden="false" customHeight="false" outlineLevel="0" collapsed="false">
      <c r="A16" s="26" t="s">
        <v>79</v>
      </c>
      <c r="B16" s="27" t="n">
        <f aca="false">COUNTIFS(Backlog!$F$2:$F$63,"SP-09",Backlog!$B$2:$B$63,"Backend")</f>
        <v>6</v>
      </c>
      <c r="C16" s="27" t="n">
        <f aca="false">COUNTIFS(Backlog!$F$2:$F$63,"SP-09",Backlog!$B$2:$B$63,"Frontend")</f>
        <v>2</v>
      </c>
      <c r="D16" s="28" t="n">
        <f aca="false">SUM(B16:C16)</f>
        <v>8</v>
      </c>
    </row>
    <row r="17" customFormat="false" ht="15" hidden="false" customHeight="false" outlineLevel="0" collapsed="false">
      <c r="A17" s="29" t="s">
        <v>83</v>
      </c>
      <c r="B17" s="30" t="n">
        <f aca="false">COUNTIFS(Backlog!$F$2:$F$63,"SP-10",Backlog!$B$2:$B$63,"Backend")</f>
        <v>6</v>
      </c>
      <c r="C17" s="30" t="n">
        <f aca="false">COUNTIFS(Backlog!$F$2:$F$63,"SP-10",Backlog!$B$2:$B$63,"Frontend")</f>
        <v>7</v>
      </c>
      <c r="D17" s="31" t="n">
        <f aca="false">SUM(B17:C17)</f>
        <v>13</v>
      </c>
    </row>
    <row r="18" customFormat="false" ht="15" hidden="false" customHeight="false" outlineLevel="0" collapsed="false">
      <c r="A18" s="26" t="s">
        <v>87</v>
      </c>
      <c r="B18" s="27" t="n">
        <f aca="false">COUNTIFS(Backlog!$F$2:$F$63,"SP-11",Backlog!$B$2:$B$63,"Backend")</f>
        <v>6</v>
      </c>
      <c r="C18" s="27" t="n">
        <f aca="false">COUNTIFS(Backlog!$F$2:$F$63,"SP-11",Backlog!$B$2:$B$63,"Frontend")</f>
        <v>12</v>
      </c>
      <c r="D18" s="28" t="n">
        <f aca="false">SUM(B18:C18)</f>
        <v>18</v>
      </c>
    </row>
    <row r="19" customFormat="false" ht="15" hidden="false" customHeight="false" outlineLevel="0" collapsed="false">
      <c r="A19" s="29" t="s">
        <v>91</v>
      </c>
      <c r="B19" s="30" t="n">
        <f aca="false">COUNTIFS(Backlog!$F$2:$F$63,"SP-12",Backlog!$B$2:$B$63,"Backend")</f>
        <v>8</v>
      </c>
      <c r="C19" s="30" t="n">
        <f aca="false">COUNTIFS(Backlog!$F$2:$F$63,"SP-12",Backlog!$B$2:$B$63,"Frontend")</f>
        <v>4</v>
      </c>
      <c r="D19" s="31" t="n">
        <f aca="false">SUM(B19:C19)</f>
        <v>12</v>
      </c>
    </row>
    <row r="20" customFormat="false" ht="15" hidden="false" customHeight="false" outlineLevel="0" collapsed="false">
      <c r="A20" s="26" t="s">
        <v>95</v>
      </c>
      <c r="B20" s="27" t="n">
        <f aca="false">COUNTIFS(Backlog!$F$2:$F$63,"SP-13",Backlog!$B$2:$B$63,"Backend")</f>
        <v>6</v>
      </c>
      <c r="C20" s="27" t="n">
        <f aca="false">COUNTIFS(Backlog!$F$2:$F$63,"SP-13",Backlog!$B$2:$B$63,"Frontend")</f>
        <v>5</v>
      </c>
      <c r="D20" s="28" t="n">
        <f aca="false">SUM(B20:C20)</f>
        <v>11</v>
      </c>
    </row>
    <row r="21" customFormat="false" ht="15" hidden="false" customHeight="false" outlineLevel="0" collapsed="false">
      <c r="A21" s="9" t="s">
        <v>439</v>
      </c>
      <c r="B21" s="32" t="n">
        <f aca="false">SUM(B16:B20)</f>
        <v>32</v>
      </c>
      <c r="C21" s="32" t="n">
        <f aca="false">SUM(C16:C20)</f>
        <v>30</v>
      </c>
      <c r="D21" s="32" t="n">
        <f aca="false">SUM(D16:D20)</f>
        <v>62</v>
      </c>
    </row>
    <row r="24" customFormat="false" ht="15" hidden="false" customHeight="false" outlineLevel="0" collapsed="false">
      <c r="A24" s="22" t="s">
        <v>441</v>
      </c>
    </row>
    <row r="25" customFormat="false" ht="21.75" hidden="false" customHeight="true" outlineLevel="0" collapsed="false">
      <c r="A25" s="23"/>
      <c r="B25" s="24" t="s">
        <v>410</v>
      </c>
      <c r="C25" s="24" t="s">
        <v>85</v>
      </c>
      <c r="D25" s="24" t="s">
        <v>93</v>
      </c>
      <c r="E25" s="24" t="s">
        <v>81</v>
      </c>
      <c r="F25" s="24" t="s">
        <v>77</v>
      </c>
      <c r="G25" s="24" t="s">
        <v>199</v>
      </c>
      <c r="H25" s="24" t="s">
        <v>308</v>
      </c>
      <c r="I25" s="24" t="s">
        <v>380</v>
      </c>
      <c r="J25" s="24" t="s">
        <v>89</v>
      </c>
      <c r="K25" s="24" t="s">
        <v>285</v>
      </c>
      <c r="L25" s="24" t="s">
        <v>104</v>
      </c>
      <c r="M25" s="25" t="s">
        <v>439</v>
      </c>
    </row>
    <row r="26" customFormat="false" ht="15" hidden="false" customHeight="false" outlineLevel="0" collapsed="false">
      <c r="A26" s="26" t="s">
        <v>79</v>
      </c>
      <c r="B26" s="27" t="n">
        <f aca="false">SUMIFS(Backlog!$L$2:$L$63,Backlog!$F$2:$F$63,"SP-09",Backlog!$C$2:$C$63,"Channel dashboard")</f>
        <v>8</v>
      </c>
      <c r="C26" s="27" t="n">
        <f aca="false">SUMIFS(Backlog!$L$2:$L$63,Backlog!$F$2:$F$63,"SP-09",Backlog!$C$2:$C$63,"Delivery")</f>
        <v>0</v>
      </c>
      <c r="D26" s="27" t="n">
        <f aca="false">SUMIFS(Backlog!$L$2:$L$63,Backlog!$F$2:$F$63,"SP-09",Backlog!$C$2:$C$63,"Finance")</f>
        <v>0</v>
      </c>
      <c r="E26" s="27" t="n">
        <f aca="false">SUMIFS(Backlog!$L$2:$L$63,Backlog!$F$2:$F$63,"SP-09",Backlog!$C$2:$C$63,"Fulfillment")</f>
        <v>0</v>
      </c>
      <c r="F26" s="27" t="n">
        <f aca="false">SUMIFS(Backlog!$L$2:$L$63,Backlog!$F$2:$F$63,"SP-09",Backlog!$C$2:$C$63,"Inventory")</f>
        <v>34</v>
      </c>
      <c r="G26" s="27" t="n">
        <f aca="false">SUMIFS(Backlog!$L$2:$L$63,Backlog!$F$2:$F$63,"SP-09",Backlog!$C$2:$C$63,"Ordering")</f>
        <v>0</v>
      </c>
      <c r="H26" s="27" t="n">
        <f aca="false">SUMIFS(Backlog!$L$2:$L$63,Backlog!$F$2:$F$63,"SP-09",Backlog!$C$2:$C$63,"Rep app")</f>
        <v>0</v>
      </c>
      <c r="I26" s="27" t="n">
        <f aca="false">SUMIFS(Backlog!$L$2:$L$63,Backlog!$F$2:$F$63,"SP-09",Backlog!$C$2:$C$63,"Retailer app")</f>
        <v>0</v>
      </c>
      <c r="J26" s="27" t="n">
        <f aca="false">SUMIFS(Backlog!$L$2:$L$63,Backlog!$F$2:$F$63,"SP-09",Backlog!$C$2:$C$63,"Returns")</f>
        <v>0</v>
      </c>
      <c r="K26" s="27" t="n">
        <f aca="false">SUMIFS(Backlog!$L$2:$L$63,Backlog!$F$2:$F$63,"SP-09",Backlog!$C$2:$C$63,"Sync")</f>
        <v>0</v>
      </c>
      <c r="L26" s="27" t="n">
        <f aca="false">SUMIFS(Backlog!$L$2:$L$63,Backlog!$F$2:$F$63,"SP-09",Backlog!$C$2:$C$63,"Warehouse console")</f>
        <v>5</v>
      </c>
      <c r="M26" s="28" t="n">
        <f aca="false">SUM(B26:L26)</f>
        <v>47</v>
      </c>
    </row>
    <row r="27" customFormat="false" ht="15" hidden="false" customHeight="false" outlineLevel="0" collapsed="false">
      <c r="A27" s="29" t="s">
        <v>83</v>
      </c>
      <c r="B27" s="30" t="n">
        <f aca="false">SUMIFS(Backlog!$L$2:$L$63,Backlog!$F$2:$F$63,"SP-10",Backlog!$C$2:$C$63,"Channel dashboard")</f>
        <v>0</v>
      </c>
      <c r="C27" s="30" t="n">
        <f aca="false">SUMIFS(Backlog!$L$2:$L$63,Backlog!$F$2:$F$63,"SP-10",Backlog!$C$2:$C$63,"Delivery")</f>
        <v>0</v>
      </c>
      <c r="D27" s="30" t="n">
        <f aca="false">SUMIFS(Backlog!$L$2:$L$63,Backlog!$F$2:$F$63,"SP-10",Backlog!$C$2:$C$63,"Finance")</f>
        <v>0</v>
      </c>
      <c r="E27" s="30" t="n">
        <f aca="false">SUMIFS(Backlog!$L$2:$L$63,Backlog!$F$2:$F$63,"SP-10",Backlog!$C$2:$C$63,"Fulfillment")</f>
        <v>36</v>
      </c>
      <c r="F27" s="30" t="n">
        <f aca="false">SUMIFS(Backlog!$L$2:$L$63,Backlog!$F$2:$F$63,"SP-10",Backlog!$C$2:$C$63,"Inventory")</f>
        <v>0</v>
      </c>
      <c r="G27" s="30" t="n">
        <f aca="false">SUMIFS(Backlog!$L$2:$L$63,Backlog!$F$2:$F$63,"SP-10",Backlog!$C$2:$C$63,"Ordering")</f>
        <v>0</v>
      </c>
      <c r="H27" s="30" t="n">
        <f aca="false">SUMIFS(Backlog!$L$2:$L$63,Backlog!$F$2:$F$63,"SP-10",Backlog!$C$2:$C$63,"Rep app")</f>
        <v>5</v>
      </c>
      <c r="I27" s="30" t="n">
        <f aca="false">SUMIFS(Backlog!$L$2:$L$63,Backlog!$F$2:$F$63,"SP-10",Backlog!$C$2:$C$63,"Retailer app")</f>
        <v>0</v>
      </c>
      <c r="J27" s="30" t="n">
        <f aca="false">SUMIFS(Backlog!$L$2:$L$63,Backlog!$F$2:$F$63,"SP-10",Backlog!$C$2:$C$63,"Returns")</f>
        <v>0</v>
      </c>
      <c r="K27" s="30" t="n">
        <f aca="false">SUMIFS(Backlog!$L$2:$L$63,Backlog!$F$2:$F$63,"SP-10",Backlog!$C$2:$C$63,"Sync")</f>
        <v>0</v>
      </c>
      <c r="L27" s="30" t="n">
        <f aca="false">SUMIFS(Backlog!$L$2:$L$63,Backlog!$F$2:$F$63,"SP-10",Backlog!$C$2:$C$63,"Warehouse console")</f>
        <v>36</v>
      </c>
      <c r="M27" s="31" t="n">
        <f aca="false">SUM(B27:L27)</f>
        <v>77</v>
      </c>
    </row>
    <row r="28" customFormat="false" ht="15" hidden="false" customHeight="false" outlineLevel="0" collapsed="false">
      <c r="A28" s="26" t="s">
        <v>87</v>
      </c>
      <c r="B28" s="27" t="n">
        <f aca="false">SUMIFS(Backlog!$L$2:$L$63,Backlog!$F$2:$F$63,"SP-11",Backlog!$C$2:$C$63,"Channel dashboard")</f>
        <v>21</v>
      </c>
      <c r="C28" s="27" t="n">
        <f aca="false">SUMIFS(Backlog!$L$2:$L$63,Backlog!$F$2:$F$63,"SP-11",Backlog!$C$2:$C$63,"Delivery")</f>
        <v>28</v>
      </c>
      <c r="D28" s="27" t="n">
        <f aca="false">SUMIFS(Backlog!$L$2:$L$63,Backlog!$F$2:$F$63,"SP-11",Backlog!$C$2:$C$63,"Finance")</f>
        <v>0</v>
      </c>
      <c r="E28" s="27" t="n">
        <f aca="false">SUMIFS(Backlog!$L$2:$L$63,Backlog!$F$2:$F$63,"SP-11",Backlog!$C$2:$C$63,"Fulfillment")</f>
        <v>0</v>
      </c>
      <c r="F28" s="27" t="n">
        <f aca="false">SUMIFS(Backlog!$L$2:$L$63,Backlog!$F$2:$F$63,"SP-11",Backlog!$C$2:$C$63,"Inventory")</f>
        <v>0</v>
      </c>
      <c r="G28" s="27" t="n">
        <f aca="false">SUMIFS(Backlog!$L$2:$L$63,Backlog!$F$2:$F$63,"SP-11",Backlog!$C$2:$C$63,"Ordering")</f>
        <v>8</v>
      </c>
      <c r="H28" s="27" t="n">
        <f aca="false">SUMIFS(Backlog!$L$2:$L$63,Backlog!$F$2:$F$63,"SP-11",Backlog!$C$2:$C$63,"Rep app")</f>
        <v>40</v>
      </c>
      <c r="I28" s="27" t="n">
        <f aca="false">SUMIFS(Backlog!$L$2:$L$63,Backlog!$F$2:$F$63,"SP-11",Backlog!$C$2:$C$63,"Retailer app")</f>
        <v>13</v>
      </c>
      <c r="J28" s="27" t="n">
        <f aca="false">SUMIFS(Backlog!$L$2:$L$63,Backlog!$F$2:$F$63,"SP-11",Backlog!$C$2:$C$63,"Returns")</f>
        <v>0</v>
      </c>
      <c r="K28" s="27" t="n">
        <f aca="false">SUMIFS(Backlog!$L$2:$L$63,Backlog!$F$2:$F$63,"SP-11",Backlog!$C$2:$C$63,"Sync")</f>
        <v>0</v>
      </c>
      <c r="L28" s="27" t="n">
        <f aca="false">SUMIFS(Backlog!$L$2:$L$63,Backlog!$F$2:$F$63,"SP-11",Backlog!$C$2:$C$63,"Warehouse console")</f>
        <v>0</v>
      </c>
      <c r="M28" s="28" t="n">
        <f aca="false">SUM(B28:L28)</f>
        <v>110</v>
      </c>
    </row>
    <row r="29" customFormat="false" ht="15" hidden="false" customHeight="false" outlineLevel="0" collapsed="false">
      <c r="A29" s="29" t="s">
        <v>91</v>
      </c>
      <c r="B29" s="30" t="n">
        <f aca="false">SUMIFS(Backlog!$L$2:$L$63,Backlog!$F$2:$F$63,"SP-12",Backlog!$C$2:$C$63,"Channel dashboard")</f>
        <v>5</v>
      </c>
      <c r="C29" s="30" t="n">
        <f aca="false">SUMIFS(Backlog!$L$2:$L$63,Backlog!$F$2:$F$63,"SP-12",Backlog!$C$2:$C$63,"Delivery")</f>
        <v>0</v>
      </c>
      <c r="D29" s="30" t="n">
        <f aca="false">SUMIFS(Backlog!$L$2:$L$63,Backlog!$F$2:$F$63,"SP-12",Backlog!$C$2:$C$63,"Finance")</f>
        <v>0</v>
      </c>
      <c r="E29" s="30" t="n">
        <f aca="false">SUMIFS(Backlog!$L$2:$L$63,Backlog!$F$2:$F$63,"SP-12",Backlog!$C$2:$C$63,"Fulfillment")</f>
        <v>0</v>
      </c>
      <c r="F29" s="30" t="n">
        <f aca="false">SUMIFS(Backlog!$L$2:$L$63,Backlog!$F$2:$F$63,"SP-12",Backlog!$C$2:$C$63,"Inventory")</f>
        <v>0</v>
      </c>
      <c r="G29" s="30" t="n">
        <f aca="false">SUMIFS(Backlog!$L$2:$L$63,Backlog!$F$2:$F$63,"SP-12",Backlog!$C$2:$C$63,"Ordering")</f>
        <v>0</v>
      </c>
      <c r="H29" s="30" t="n">
        <f aca="false">SUMIFS(Backlog!$L$2:$L$63,Backlog!$F$2:$F$63,"SP-12",Backlog!$C$2:$C$63,"Rep app")</f>
        <v>8</v>
      </c>
      <c r="I29" s="30" t="n">
        <f aca="false">SUMIFS(Backlog!$L$2:$L$63,Backlog!$F$2:$F$63,"SP-12",Backlog!$C$2:$C$63,"Retailer app")</f>
        <v>11</v>
      </c>
      <c r="J29" s="30" t="n">
        <f aca="false">SUMIFS(Backlog!$L$2:$L$63,Backlog!$F$2:$F$63,"SP-12",Backlog!$C$2:$C$63,"Returns")</f>
        <v>21</v>
      </c>
      <c r="K29" s="30" t="n">
        <f aca="false">SUMIFS(Backlog!$L$2:$L$63,Backlog!$F$2:$F$63,"SP-12",Backlog!$C$2:$C$63,"Sync")</f>
        <v>24</v>
      </c>
      <c r="L29" s="30" t="n">
        <f aca="false">SUMIFS(Backlog!$L$2:$L$63,Backlog!$F$2:$F$63,"SP-12",Backlog!$C$2:$C$63,"Warehouse console")</f>
        <v>0</v>
      </c>
      <c r="M29" s="31" t="n">
        <f aca="false">SUM(B29:L29)</f>
        <v>69</v>
      </c>
    </row>
    <row r="30" customFormat="false" ht="15" hidden="false" customHeight="false" outlineLevel="0" collapsed="false">
      <c r="A30" s="26" t="s">
        <v>95</v>
      </c>
      <c r="B30" s="27" t="n">
        <f aca="false">SUMIFS(Backlog!$L$2:$L$63,Backlog!$F$2:$F$63,"SP-13",Backlog!$C$2:$C$63,"Channel dashboard")</f>
        <v>8</v>
      </c>
      <c r="C30" s="27" t="n">
        <f aca="false">SUMIFS(Backlog!$L$2:$L$63,Backlog!$F$2:$F$63,"SP-13",Backlog!$C$2:$C$63,"Delivery")</f>
        <v>0</v>
      </c>
      <c r="D30" s="27" t="n">
        <f aca="false">SUMIFS(Backlog!$L$2:$L$63,Backlog!$F$2:$F$63,"SP-13",Backlog!$C$2:$C$63,"Finance")</f>
        <v>39</v>
      </c>
      <c r="E30" s="27" t="n">
        <f aca="false">SUMIFS(Backlog!$L$2:$L$63,Backlog!$F$2:$F$63,"SP-13",Backlog!$C$2:$C$63,"Fulfillment")</f>
        <v>0</v>
      </c>
      <c r="F30" s="27" t="n">
        <f aca="false">SUMIFS(Backlog!$L$2:$L$63,Backlog!$F$2:$F$63,"SP-13",Backlog!$C$2:$C$63,"Inventory")</f>
        <v>0</v>
      </c>
      <c r="G30" s="27" t="n">
        <f aca="false">SUMIFS(Backlog!$L$2:$L$63,Backlog!$F$2:$F$63,"SP-13",Backlog!$C$2:$C$63,"Ordering")</f>
        <v>0</v>
      </c>
      <c r="H30" s="27" t="n">
        <f aca="false">SUMIFS(Backlog!$L$2:$L$63,Backlog!$F$2:$F$63,"SP-13",Backlog!$C$2:$C$63,"Rep app")</f>
        <v>13</v>
      </c>
      <c r="I30" s="27" t="n">
        <f aca="false">SUMIFS(Backlog!$L$2:$L$63,Backlog!$F$2:$F$63,"SP-13",Backlog!$C$2:$C$63,"Retailer app")</f>
        <v>8</v>
      </c>
      <c r="J30" s="27" t="n">
        <f aca="false">SUMIFS(Backlog!$L$2:$L$63,Backlog!$F$2:$F$63,"SP-13",Backlog!$C$2:$C$63,"Returns")</f>
        <v>0</v>
      </c>
      <c r="K30" s="27" t="n">
        <f aca="false">SUMIFS(Backlog!$L$2:$L$63,Backlog!$F$2:$F$63,"SP-13",Backlog!$C$2:$C$63,"Sync")</f>
        <v>0</v>
      </c>
      <c r="L30" s="27" t="n">
        <f aca="false">SUMIFS(Backlog!$L$2:$L$63,Backlog!$F$2:$F$63,"SP-13",Backlog!$C$2:$C$63,"Warehouse console")</f>
        <v>0</v>
      </c>
      <c r="M30" s="28" t="n">
        <f aca="false">SUM(B30:L30)</f>
        <v>68</v>
      </c>
    </row>
    <row r="31" customFormat="false" ht="15" hidden="false" customHeight="false" outlineLevel="0" collapsed="false">
      <c r="A31" s="9" t="s">
        <v>439</v>
      </c>
      <c r="B31" s="32" t="n">
        <f aca="false">SUM(B26:B30)</f>
        <v>42</v>
      </c>
      <c r="C31" s="32" t="n">
        <f aca="false">SUM(C26:C30)</f>
        <v>28</v>
      </c>
      <c r="D31" s="32" t="n">
        <f aca="false">SUM(D26:D30)</f>
        <v>39</v>
      </c>
      <c r="E31" s="32" t="n">
        <f aca="false">SUM(E26:E30)</f>
        <v>36</v>
      </c>
      <c r="F31" s="32" t="n">
        <f aca="false">SUM(F26:F30)</f>
        <v>34</v>
      </c>
      <c r="G31" s="32" t="n">
        <f aca="false">SUM(G26:G30)</f>
        <v>8</v>
      </c>
      <c r="H31" s="32" t="n">
        <f aca="false">SUM(H26:H30)</f>
        <v>66</v>
      </c>
      <c r="I31" s="32" t="n">
        <f aca="false">SUM(I26:I30)</f>
        <v>32</v>
      </c>
      <c r="J31" s="32" t="n">
        <f aca="false">SUM(J26:J30)</f>
        <v>21</v>
      </c>
      <c r="K31" s="32" t="n">
        <f aca="false">SUM(K26:K30)</f>
        <v>24</v>
      </c>
      <c r="L31" s="32" t="n">
        <f aca="false">SUM(L26:L30)</f>
        <v>41</v>
      </c>
      <c r="M31" s="32" t="n">
        <f aca="false">SUM(M26:M30)</f>
        <v>371</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8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5" min="3" style="0" width="12"/>
    <col collapsed="false" customWidth="true" hidden="false" outlineLevel="0" max="6" min="6" style="0" width="42"/>
    <col collapsed="false" customWidth="true" hidden="false" outlineLevel="0" max="7" min="7" style="0" width="12"/>
    <col collapsed="false" customWidth="true" hidden="false" outlineLevel="0" max="8" min="8" style="0" width="16"/>
  </cols>
  <sheetData>
    <row r="1" customFormat="false" ht="30" hidden="false" customHeight="true" outlineLevel="0" collapsed="false">
      <c r="A1" s="10" t="s">
        <v>442</v>
      </c>
      <c r="B1" s="10" t="s">
        <v>443</v>
      </c>
      <c r="C1" s="10" t="s">
        <v>444</v>
      </c>
      <c r="D1" s="10" t="s">
        <v>445</v>
      </c>
      <c r="E1" s="10" t="s">
        <v>446</v>
      </c>
      <c r="F1" s="10" t="s">
        <v>447</v>
      </c>
      <c r="G1" s="10" t="s">
        <v>448</v>
      </c>
      <c r="H1" s="10" t="s">
        <v>449</v>
      </c>
    </row>
    <row r="2" customFormat="false" ht="17.25" hidden="false" customHeight="true" outlineLevel="0" collapsed="false">
      <c r="A2" s="11" t="s">
        <v>290</v>
      </c>
      <c r="B2" s="12" t="s">
        <v>450</v>
      </c>
      <c r="C2" s="13" t="s">
        <v>451</v>
      </c>
      <c r="D2" s="13" t="s">
        <v>452</v>
      </c>
      <c r="E2" s="12" t="s">
        <v>258</v>
      </c>
      <c r="F2" s="12" t="s">
        <v>259</v>
      </c>
      <c r="G2" s="13" t="s">
        <v>95</v>
      </c>
      <c r="H2" s="19" t="s">
        <v>453</v>
      </c>
    </row>
    <row r="3" customFormat="false" ht="17.25" hidden="false" customHeight="true" outlineLevel="0" collapsed="false">
      <c r="A3" s="14" t="s">
        <v>290</v>
      </c>
      <c r="B3" s="15" t="s">
        <v>450</v>
      </c>
      <c r="C3" s="16" t="s">
        <v>451</v>
      </c>
      <c r="D3" s="16" t="s">
        <v>452</v>
      </c>
      <c r="E3" s="15" t="s">
        <v>182</v>
      </c>
      <c r="F3" s="15" t="s">
        <v>183</v>
      </c>
      <c r="G3" s="16" t="s">
        <v>83</v>
      </c>
      <c r="H3" s="19" t="s">
        <v>453</v>
      </c>
    </row>
    <row r="4" customFormat="false" ht="17.25" hidden="false" customHeight="true" outlineLevel="0" collapsed="false">
      <c r="A4" s="11" t="s">
        <v>290</v>
      </c>
      <c r="B4" s="12" t="s">
        <v>450</v>
      </c>
      <c r="C4" s="13" t="s">
        <v>451</v>
      </c>
      <c r="D4" s="13" t="s">
        <v>452</v>
      </c>
      <c r="E4" s="12" t="s">
        <v>284</v>
      </c>
      <c r="F4" s="12" t="s">
        <v>286</v>
      </c>
      <c r="G4" s="13" t="s">
        <v>91</v>
      </c>
      <c r="H4" s="19" t="s">
        <v>453</v>
      </c>
    </row>
    <row r="5" customFormat="false" ht="17.25" hidden="false" customHeight="true" outlineLevel="0" collapsed="false">
      <c r="A5" s="14" t="s">
        <v>454</v>
      </c>
      <c r="B5" s="15" t="s">
        <v>455</v>
      </c>
      <c r="C5" s="16" t="s">
        <v>451</v>
      </c>
      <c r="D5" s="16" t="s">
        <v>452</v>
      </c>
      <c r="E5" s="15" t="s">
        <v>146</v>
      </c>
      <c r="F5" s="15" t="s">
        <v>147</v>
      </c>
      <c r="G5" s="16" t="s">
        <v>79</v>
      </c>
      <c r="H5" s="19" t="s">
        <v>453</v>
      </c>
    </row>
    <row r="6" customFormat="false" ht="17.25" hidden="false" customHeight="true" outlineLevel="0" collapsed="false">
      <c r="A6" s="11" t="s">
        <v>456</v>
      </c>
      <c r="B6" s="12" t="s">
        <v>457</v>
      </c>
      <c r="C6" s="13" t="s">
        <v>451</v>
      </c>
      <c r="D6" s="13" t="s">
        <v>452</v>
      </c>
      <c r="E6" s="12" t="s">
        <v>252</v>
      </c>
      <c r="F6" s="12" t="s">
        <v>253</v>
      </c>
      <c r="G6" s="13" t="s">
        <v>95</v>
      </c>
      <c r="H6" s="19" t="s">
        <v>453</v>
      </c>
    </row>
    <row r="7" customFormat="false" ht="17.25" hidden="false" customHeight="true" outlineLevel="0" collapsed="false">
      <c r="A7" s="14" t="s">
        <v>229</v>
      </c>
      <c r="B7" s="15" t="s">
        <v>458</v>
      </c>
      <c r="C7" s="16" t="s">
        <v>451</v>
      </c>
      <c r="D7" s="16" t="s">
        <v>459</v>
      </c>
      <c r="E7" s="15" t="s">
        <v>225</v>
      </c>
      <c r="F7" s="15" t="s">
        <v>226</v>
      </c>
      <c r="G7" s="16" t="s">
        <v>87</v>
      </c>
      <c r="H7" s="19" t="s">
        <v>453</v>
      </c>
    </row>
    <row r="8" customFormat="false" ht="17.25" hidden="false" customHeight="true" outlineLevel="0" collapsed="false">
      <c r="A8" s="11" t="s">
        <v>460</v>
      </c>
      <c r="B8" s="12" t="s">
        <v>461</v>
      </c>
      <c r="C8" s="13" t="s">
        <v>451</v>
      </c>
      <c r="D8" s="13" t="s">
        <v>459</v>
      </c>
      <c r="E8" s="12" t="s">
        <v>198</v>
      </c>
      <c r="F8" s="12" t="s">
        <v>200</v>
      </c>
      <c r="G8" s="13" t="s">
        <v>87</v>
      </c>
      <c r="H8" s="19" t="s">
        <v>453</v>
      </c>
    </row>
    <row r="9" customFormat="false" ht="17.25" hidden="false" customHeight="true" outlineLevel="0" collapsed="false">
      <c r="A9" s="14" t="s">
        <v>462</v>
      </c>
      <c r="B9" s="15" t="s">
        <v>463</v>
      </c>
      <c r="C9" s="16" t="s">
        <v>451</v>
      </c>
      <c r="D9" s="16" t="s">
        <v>459</v>
      </c>
      <c r="E9" s="15" t="s">
        <v>128</v>
      </c>
      <c r="F9" s="15" t="s">
        <v>130</v>
      </c>
      <c r="G9" s="16" t="s">
        <v>79</v>
      </c>
      <c r="H9" s="19" t="s">
        <v>453</v>
      </c>
    </row>
    <row r="10" customFormat="false" ht="17.25" hidden="false" customHeight="true" outlineLevel="0" collapsed="false">
      <c r="A10" s="11" t="s">
        <v>464</v>
      </c>
      <c r="B10" s="12" t="s">
        <v>465</v>
      </c>
      <c r="C10" s="13" t="s">
        <v>466</v>
      </c>
      <c r="D10" s="13" t="s">
        <v>467</v>
      </c>
      <c r="E10" s="12" t="s">
        <v>128</v>
      </c>
      <c r="F10" s="12" t="s">
        <v>130</v>
      </c>
      <c r="G10" s="13" t="s">
        <v>79</v>
      </c>
      <c r="H10" s="19" t="s">
        <v>453</v>
      </c>
    </row>
    <row r="11" customFormat="false" ht="17.25" hidden="false" customHeight="true" outlineLevel="0" collapsed="false">
      <c r="A11" s="14" t="s">
        <v>296</v>
      </c>
      <c r="B11" s="15" t="s">
        <v>468</v>
      </c>
      <c r="C11" s="16" t="s">
        <v>466</v>
      </c>
      <c r="D11" s="16" t="s">
        <v>469</v>
      </c>
      <c r="E11" s="15" t="s">
        <v>291</v>
      </c>
      <c r="F11" s="15" t="s">
        <v>292</v>
      </c>
      <c r="G11" s="16" t="s">
        <v>91</v>
      </c>
      <c r="H11" s="19" t="s">
        <v>453</v>
      </c>
    </row>
    <row r="12" customFormat="false" ht="17.25" hidden="false" customHeight="true" outlineLevel="0" collapsed="false">
      <c r="A12" s="11" t="s">
        <v>470</v>
      </c>
      <c r="B12" s="12" t="s">
        <v>471</v>
      </c>
      <c r="C12" s="13" t="s">
        <v>466</v>
      </c>
      <c r="D12" s="13" t="s">
        <v>472</v>
      </c>
      <c r="E12" s="12" t="s">
        <v>313</v>
      </c>
      <c r="F12" s="12" t="s">
        <v>314</v>
      </c>
      <c r="G12" s="13" t="s">
        <v>87</v>
      </c>
      <c r="H12" s="19" t="s">
        <v>453</v>
      </c>
    </row>
    <row r="13" customFormat="false" ht="17.25" hidden="false" customHeight="true" outlineLevel="0" collapsed="false">
      <c r="A13" s="14" t="s">
        <v>473</v>
      </c>
      <c r="B13" s="15" t="s">
        <v>474</v>
      </c>
      <c r="C13" s="16" t="s">
        <v>466</v>
      </c>
      <c r="D13" s="16" t="s">
        <v>475</v>
      </c>
      <c r="E13" s="15" t="s">
        <v>139</v>
      </c>
      <c r="F13" s="15" t="s">
        <v>140</v>
      </c>
      <c r="G13" s="16" t="s">
        <v>79</v>
      </c>
      <c r="H13" s="19" t="s">
        <v>453</v>
      </c>
    </row>
    <row r="14" customFormat="false" ht="17.25" hidden="false" customHeight="true" outlineLevel="0" collapsed="false">
      <c r="A14" s="11" t="s">
        <v>476</v>
      </c>
      <c r="B14" s="12" t="s">
        <v>477</v>
      </c>
      <c r="C14" s="13" t="s">
        <v>466</v>
      </c>
      <c r="D14" s="13" t="s">
        <v>475</v>
      </c>
      <c r="E14" s="12" t="s">
        <v>198</v>
      </c>
      <c r="F14" s="12" t="s">
        <v>200</v>
      </c>
      <c r="G14" s="13" t="s">
        <v>87</v>
      </c>
      <c r="H14" s="19" t="s">
        <v>453</v>
      </c>
    </row>
    <row r="15" customFormat="false" ht="17.25" hidden="false" customHeight="true" outlineLevel="0" collapsed="false">
      <c r="A15" s="14" t="s">
        <v>198</v>
      </c>
      <c r="B15" s="15" t="s">
        <v>200</v>
      </c>
      <c r="C15" s="16" t="s">
        <v>478</v>
      </c>
      <c r="D15" s="16" t="s">
        <v>87</v>
      </c>
      <c r="E15" s="15" t="s">
        <v>205</v>
      </c>
      <c r="F15" s="15" t="s">
        <v>206</v>
      </c>
      <c r="G15" s="16" t="s">
        <v>87</v>
      </c>
      <c r="H15" s="16" t="s">
        <v>479</v>
      </c>
    </row>
    <row r="16" customFormat="false" ht="17.25" hidden="false" customHeight="true" outlineLevel="0" collapsed="false">
      <c r="A16" s="11" t="s">
        <v>198</v>
      </c>
      <c r="B16" s="12" t="s">
        <v>200</v>
      </c>
      <c r="C16" s="13" t="s">
        <v>478</v>
      </c>
      <c r="D16" s="13" t="s">
        <v>87</v>
      </c>
      <c r="E16" s="12" t="s">
        <v>415</v>
      </c>
      <c r="F16" s="12" t="s">
        <v>416</v>
      </c>
      <c r="G16" s="13" t="s">
        <v>87</v>
      </c>
      <c r="H16" s="13" t="s">
        <v>479</v>
      </c>
    </row>
    <row r="17" customFormat="false" ht="17.25" hidden="false" customHeight="true" outlineLevel="0" collapsed="false">
      <c r="A17" s="14" t="s">
        <v>205</v>
      </c>
      <c r="B17" s="15" t="s">
        <v>206</v>
      </c>
      <c r="C17" s="16" t="s">
        <v>478</v>
      </c>
      <c r="D17" s="16" t="s">
        <v>87</v>
      </c>
      <c r="E17" s="15" t="s">
        <v>215</v>
      </c>
      <c r="F17" s="15" t="s">
        <v>216</v>
      </c>
      <c r="G17" s="16" t="s">
        <v>87</v>
      </c>
      <c r="H17" s="16" t="s">
        <v>479</v>
      </c>
    </row>
    <row r="18" customFormat="false" ht="17.25" hidden="false" customHeight="true" outlineLevel="0" collapsed="false">
      <c r="A18" s="11" t="s">
        <v>205</v>
      </c>
      <c r="B18" s="12" t="s">
        <v>206</v>
      </c>
      <c r="C18" s="13" t="s">
        <v>478</v>
      </c>
      <c r="D18" s="13" t="s">
        <v>87</v>
      </c>
      <c r="E18" s="12" t="s">
        <v>306</v>
      </c>
      <c r="F18" s="12" t="s">
        <v>309</v>
      </c>
      <c r="G18" s="13" t="s">
        <v>87</v>
      </c>
      <c r="H18" s="13" t="s">
        <v>479</v>
      </c>
    </row>
    <row r="19" customFormat="false" ht="17.25" hidden="false" customHeight="true" outlineLevel="0" collapsed="false">
      <c r="A19" s="14" t="s">
        <v>205</v>
      </c>
      <c r="B19" s="15" t="s">
        <v>206</v>
      </c>
      <c r="C19" s="16" t="s">
        <v>478</v>
      </c>
      <c r="D19" s="16" t="s">
        <v>87</v>
      </c>
      <c r="E19" s="15" t="s">
        <v>330</v>
      </c>
      <c r="F19" s="15" t="s">
        <v>331</v>
      </c>
      <c r="G19" s="16" t="s">
        <v>87</v>
      </c>
      <c r="H19" s="16" t="s">
        <v>479</v>
      </c>
    </row>
    <row r="20" customFormat="false" ht="17.25" hidden="false" customHeight="true" outlineLevel="0" collapsed="false">
      <c r="A20" s="11" t="s">
        <v>209</v>
      </c>
      <c r="B20" s="12" t="s">
        <v>210</v>
      </c>
      <c r="C20" s="13" t="s">
        <v>478</v>
      </c>
      <c r="D20" s="13" t="s">
        <v>87</v>
      </c>
      <c r="E20" s="12" t="s">
        <v>220</v>
      </c>
      <c r="F20" s="12" t="s">
        <v>221</v>
      </c>
      <c r="G20" s="13" t="s">
        <v>87</v>
      </c>
      <c r="H20" s="13" t="s">
        <v>479</v>
      </c>
    </row>
    <row r="21" customFormat="false" ht="17.25" hidden="false" customHeight="true" outlineLevel="0" collapsed="false">
      <c r="A21" s="14" t="s">
        <v>209</v>
      </c>
      <c r="B21" s="15" t="s">
        <v>210</v>
      </c>
      <c r="C21" s="16" t="s">
        <v>478</v>
      </c>
      <c r="D21" s="16" t="s">
        <v>87</v>
      </c>
      <c r="E21" s="15" t="s">
        <v>252</v>
      </c>
      <c r="F21" s="15" t="s">
        <v>253</v>
      </c>
      <c r="G21" s="16" t="s">
        <v>95</v>
      </c>
      <c r="H21" s="16" t="s">
        <v>479</v>
      </c>
    </row>
    <row r="22" customFormat="false" ht="17.25" hidden="false" customHeight="true" outlineLevel="0" collapsed="false">
      <c r="A22" s="11" t="s">
        <v>209</v>
      </c>
      <c r="B22" s="12" t="s">
        <v>210</v>
      </c>
      <c r="C22" s="13" t="s">
        <v>478</v>
      </c>
      <c r="D22" s="13" t="s">
        <v>87</v>
      </c>
      <c r="E22" s="12" t="s">
        <v>230</v>
      </c>
      <c r="F22" s="12" t="s">
        <v>231</v>
      </c>
      <c r="G22" s="13" t="s">
        <v>91</v>
      </c>
      <c r="H22" s="13" t="s">
        <v>479</v>
      </c>
    </row>
    <row r="23" customFormat="false" ht="17.25" hidden="false" customHeight="true" outlineLevel="0" collapsed="false">
      <c r="A23" s="14" t="s">
        <v>209</v>
      </c>
      <c r="B23" s="15" t="s">
        <v>210</v>
      </c>
      <c r="C23" s="16" t="s">
        <v>478</v>
      </c>
      <c r="D23" s="16" t="s">
        <v>87</v>
      </c>
      <c r="E23" s="15" t="s">
        <v>318</v>
      </c>
      <c r="F23" s="15" t="s">
        <v>319</v>
      </c>
      <c r="G23" s="16" t="s">
        <v>87</v>
      </c>
      <c r="H23" s="16" t="s">
        <v>479</v>
      </c>
    </row>
    <row r="24" customFormat="false" ht="17.25" hidden="false" customHeight="true" outlineLevel="0" collapsed="false">
      <c r="A24" s="11" t="s">
        <v>209</v>
      </c>
      <c r="B24" s="12" t="s">
        <v>210</v>
      </c>
      <c r="C24" s="13" t="s">
        <v>478</v>
      </c>
      <c r="D24" s="13" t="s">
        <v>87</v>
      </c>
      <c r="E24" s="12" t="s">
        <v>384</v>
      </c>
      <c r="F24" s="12" t="s">
        <v>385</v>
      </c>
      <c r="G24" s="13" t="s">
        <v>87</v>
      </c>
      <c r="H24" s="13" t="s">
        <v>479</v>
      </c>
    </row>
    <row r="25" customFormat="false" ht="17.25" hidden="false" customHeight="true" outlineLevel="0" collapsed="false">
      <c r="A25" s="14" t="s">
        <v>215</v>
      </c>
      <c r="B25" s="15" t="s">
        <v>216</v>
      </c>
      <c r="C25" s="16" t="s">
        <v>478</v>
      </c>
      <c r="D25" s="16" t="s">
        <v>87</v>
      </c>
      <c r="E25" s="15" t="s">
        <v>419</v>
      </c>
      <c r="F25" s="15" t="s">
        <v>420</v>
      </c>
      <c r="G25" s="16" t="s">
        <v>87</v>
      </c>
      <c r="H25" s="16" t="s">
        <v>479</v>
      </c>
    </row>
    <row r="26" customFormat="false" ht="17.25" hidden="false" customHeight="true" outlineLevel="0" collapsed="false">
      <c r="A26" s="11" t="s">
        <v>215</v>
      </c>
      <c r="B26" s="12" t="s">
        <v>216</v>
      </c>
      <c r="C26" s="13" t="s">
        <v>478</v>
      </c>
      <c r="D26" s="13" t="s">
        <v>87</v>
      </c>
      <c r="E26" s="12" t="s">
        <v>379</v>
      </c>
      <c r="F26" s="12" t="s">
        <v>381</v>
      </c>
      <c r="G26" s="13" t="s">
        <v>87</v>
      </c>
      <c r="H26" s="13" t="s">
        <v>479</v>
      </c>
    </row>
    <row r="27" customFormat="false" ht="17.25" hidden="false" customHeight="true" outlineLevel="0" collapsed="false">
      <c r="A27" s="14" t="s">
        <v>220</v>
      </c>
      <c r="B27" s="15" t="s">
        <v>221</v>
      </c>
      <c r="C27" s="16" t="s">
        <v>478</v>
      </c>
      <c r="D27" s="16" t="s">
        <v>87</v>
      </c>
      <c r="E27" s="15" t="s">
        <v>334</v>
      </c>
      <c r="F27" s="15" t="s">
        <v>335</v>
      </c>
      <c r="G27" s="16" t="s">
        <v>87</v>
      </c>
      <c r="H27" s="16" t="s">
        <v>479</v>
      </c>
    </row>
    <row r="28" customFormat="false" ht="17.25" hidden="false" customHeight="true" outlineLevel="0" collapsed="false">
      <c r="A28" s="11" t="s">
        <v>225</v>
      </c>
      <c r="B28" s="12" t="s">
        <v>226</v>
      </c>
      <c r="C28" s="13" t="s">
        <v>478</v>
      </c>
      <c r="D28" s="13" t="s">
        <v>87</v>
      </c>
      <c r="E28" s="12" t="s">
        <v>342</v>
      </c>
      <c r="F28" s="12" t="s">
        <v>343</v>
      </c>
      <c r="G28" s="13" t="s">
        <v>87</v>
      </c>
      <c r="H28" s="13" t="s">
        <v>479</v>
      </c>
    </row>
    <row r="29" customFormat="false" ht="17.25" hidden="false" customHeight="true" outlineLevel="0" collapsed="false">
      <c r="A29" s="14" t="s">
        <v>252</v>
      </c>
      <c r="B29" s="15" t="s">
        <v>253</v>
      </c>
      <c r="C29" s="16" t="s">
        <v>478</v>
      </c>
      <c r="D29" s="16" t="s">
        <v>95</v>
      </c>
      <c r="E29" s="15" t="s">
        <v>258</v>
      </c>
      <c r="F29" s="15" t="s">
        <v>259</v>
      </c>
      <c r="G29" s="16" t="s">
        <v>95</v>
      </c>
      <c r="H29" s="16" t="s">
        <v>479</v>
      </c>
    </row>
    <row r="30" customFormat="false" ht="17.25" hidden="false" customHeight="true" outlineLevel="0" collapsed="false">
      <c r="A30" s="11" t="s">
        <v>252</v>
      </c>
      <c r="B30" s="12" t="s">
        <v>253</v>
      </c>
      <c r="C30" s="13" t="s">
        <v>478</v>
      </c>
      <c r="D30" s="13" t="s">
        <v>95</v>
      </c>
      <c r="E30" s="12" t="s">
        <v>235</v>
      </c>
      <c r="F30" s="12" t="s">
        <v>236</v>
      </c>
      <c r="G30" s="13" t="s">
        <v>91</v>
      </c>
      <c r="H30" s="13" t="s">
        <v>479</v>
      </c>
    </row>
    <row r="31" customFormat="false" ht="17.25" hidden="false" customHeight="true" outlineLevel="0" collapsed="false">
      <c r="A31" s="14" t="s">
        <v>252</v>
      </c>
      <c r="B31" s="15" t="s">
        <v>253</v>
      </c>
      <c r="C31" s="16" t="s">
        <v>478</v>
      </c>
      <c r="D31" s="16" t="s">
        <v>95</v>
      </c>
      <c r="E31" s="15" t="s">
        <v>432</v>
      </c>
      <c r="F31" s="15" t="s">
        <v>433</v>
      </c>
      <c r="G31" s="16" t="s">
        <v>95</v>
      </c>
      <c r="H31" s="16" t="s">
        <v>479</v>
      </c>
    </row>
    <row r="32" customFormat="false" ht="17.25" hidden="false" customHeight="true" outlineLevel="0" collapsed="false">
      <c r="A32" s="11" t="s">
        <v>258</v>
      </c>
      <c r="B32" s="12" t="s">
        <v>259</v>
      </c>
      <c r="C32" s="13" t="s">
        <v>478</v>
      </c>
      <c r="D32" s="13" t="s">
        <v>95</v>
      </c>
      <c r="E32" s="12" t="s">
        <v>265</v>
      </c>
      <c r="F32" s="12" t="s">
        <v>266</v>
      </c>
      <c r="G32" s="13" t="s">
        <v>95</v>
      </c>
      <c r="H32" s="13" t="s">
        <v>479</v>
      </c>
    </row>
    <row r="33" customFormat="false" ht="17.25" hidden="false" customHeight="true" outlineLevel="0" collapsed="false">
      <c r="A33" s="14" t="s">
        <v>258</v>
      </c>
      <c r="B33" s="15" t="s">
        <v>259</v>
      </c>
      <c r="C33" s="16" t="s">
        <v>478</v>
      </c>
      <c r="D33" s="16" t="s">
        <v>95</v>
      </c>
      <c r="E33" s="15" t="s">
        <v>270</v>
      </c>
      <c r="F33" s="15" t="s">
        <v>271</v>
      </c>
      <c r="G33" s="16" t="s">
        <v>95</v>
      </c>
      <c r="H33" s="16" t="s">
        <v>479</v>
      </c>
    </row>
    <row r="34" customFormat="false" ht="17.25" hidden="false" customHeight="true" outlineLevel="0" collapsed="false">
      <c r="A34" s="11" t="s">
        <v>258</v>
      </c>
      <c r="B34" s="12" t="s">
        <v>259</v>
      </c>
      <c r="C34" s="13" t="s">
        <v>478</v>
      </c>
      <c r="D34" s="13" t="s">
        <v>95</v>
      </c>
      <c r="E34" s="12" t="s">
        <v>326</v>
      </c>
      <c r="F34" s="12" t="s">
        <v>327</v>
      </c>
      <c r="G34" s="13" t="s">
        <v>95</v>
      </c>
      <c r="H34" s="13" t="s">
        <v>479</v>
      </c>
    </row>
    <row r="35" customFormat="false" ht="17.25" hidden="false" customHeight="true" outlineLevel="0" collapsed="false">
      <c r="A35" s="14" t="s">
        <v>258</v>
      </c>
      <c r="B35" s="15" t="s">
        <v>259</v>
      </c>
      <c r="C35" s="16" t="s">
        <v>478</v>
      </c>
      <c r="D35" s="16" t="s">
        <v>95</v>
      </c>
      <c r="E35" s="15" t="s">
        <v>388</v>
      </c>
      <c r="F35" s="15" t="s">
        <v>389</v>
      </c>
      <c r="G35" s="16" t="s">
        <v>95</v>
      </c>
      <c r="H35" s="16" t="s">
        <v>479</v>
      </c>
    </row>
    <row r="36" customFormat="false" ht="17.25" hidden="false" customHeight="true" outlineLevel="0" collapsed="false">
      <c r="A36" s="11" t="s">
        <v>265</v>
      </c>
      <c r="B36" s="12" t="s">
        <v>266</v>
      </c>
      <c r="C36" s="13" t="s">
        <v>478</v>
      </c>
      <c r="D36" s="13" t="s">
        <v>95</v>
      </c>
      <c r="E36" s="12" t="s">
        <v>280</v>
      </c>
      <c r="F36" s="12" t="s">
        <v>281</v>
      </c>
      <c r="G36" s="13" t="s">
        <v>95</v>
      </c>
      <c r="H36" s="13" t="s">
        <v>479</v>
      </c>
    </row>
    <row r="37" customFormat="false" ht="17.25" hidden="false" customHeight="true" outlineLevel="0" collapsed="false">
      <c r="A37" s="14" t="s">
        <v>265</v>
      </c>
      <c r="B37" s="15" t="s">
        <v>266</v>
      </c>
      <c r="C37" s="16" t="s">
        <v>478</v>
      </c>
      <c r="D37" s="16" t="s">
        <v>95</v>
      </c>
      <c r="E37" s="15" t="s">
        <v>424</v>
      </c>
      <c r="F37" s="15" t="s">
        <v>425</v>
      </c>
      <c r="G37" s="16" t="s">
        <v>87</v>
      </c>
      <c r="H37" s="16" t="s">
        <v>479</v>
      </c>
    </row>
    <row r="38" customFormat="false" ht="17.25" hidden="false" customHeight="true" outlineLevel="0" collapsed="false">
      <c r="A38" s="11" t="s">
        <v>270</v>
      </c>
      <c r="B38" s="12" t="s">
        <v>271</v>
      </c>
      <c r="C38" s="13" t="s">
        <v>478</v>
      </c>
      <c r="D38" s="13" t="s">
        <v>95</v>
      </c>
      <c r="E38" s="12" t="s">
        <v>275</v>
      </c>
      <c r="F38" s="12" t="s">
        <v>276</v>
      </c>
      <c r="G38" s="13" t="s">
        <v>95</v>
      </c>
      <c r="H38" s="13" t="s">
        <v>479</v>
      </c>
    </row>
    <row r="39" customFormat="false" ht="17.25" hidden="false" customHeight="true" outlineLevel="0" collapsed="false">
      <c r="A39" s="14" t="s">
        <v>270</v>
      </c>
      <c r="B39" s="15" t="s">
        <v>271</v>
      </c>
      <c r="C39" s="16" t="s">
        <v>478</v>
      </c>
      <c r="D39" s="16" t="s">
        <v>95</v>
      </c>
      <c r="E39" s="15" t="s">
        <v>419</v>
      </c>
      <c r="F39" s="15" t="s">
        <v>420</v>
      </c>
      <c r="G39" s="16" t="s">
        <v>87</v>
      </c>
      <c r="H39" s="16" t="s">
        <v>479</v>
      </c>
    </row>
    <row r="40" customFormat="false" ht="17.25" hidden="false" customHeight="true" outlineLevel="0" collapsed="false">
      <c r="A40" s="11" t="s">
        <v>270</v>
      </c>
      <c r="B40" s="12" t="s">
        <v>271</v>
      </c>
      <c r="C40" s="13" t="s">
        <v>478</v>
      </c>
      <c r="D40" s="13" t="s">
        <v>95</v>
      </c>
      <c r="E40" s="12" t="s">
        <v>346</v>
      </c>
      <c r="F40" s="12" t="s">
        <v>347</v>
      </c>
      <c r="G40" s="13" t="s">
        <v>95</v>
      </c>
      <c r="H40" s="13" t="s">
        <v>479</v>
      </c>
    </row>
    <row r="41" customFormat="false" ht="17.25" hidden="false" customHeight="true" outlineLevel="0" collapsed="false">
      <c r="A41" s="14" t="s">
        <v>275</v>
      </c>
      <c r="B41" s="15" t="s">
        <v>276</v>
      </c>
      <c r="C41" s="16" t="s">
        <v>478</v>
      </c>
      <c r="D41" s="16" t="s">
        <v>95</v>
      </c>
      <c r="E41" s="15" t="s">
        <v>432</v>
      </c>
      <c r="F41" s="15" t="s">
        <v>433</v>
      </c>
      <c r="G41" s="16" t="s">
        <v>95</v>
      </c>
      <c r="H41" s="16" t="s">
        <v>479</v>
      </c>
    </row>
    <row r="42" customFormat="false" ht="17.25" hidden="false" customHeight="true" outlineLevel="0" collapsed="false">
      <c r="A42" s="11" t="s">
        <v>280</v>
      </c>
      <c r="B42" s="12" t="s">
        <v>281</v>
      </c>
      <c r="C42" s="13" t="s">
        <v>478</v>
      </c>
      <c r="D42" s="13" t="s">
        <v>95</v>
      </c>
      <c r="E42" s="12" t="s">
        <v>396</v>
      </c>
      <c r="F42" s="12" t="s">
        <v>397</v>
      </c>
      <c r="G42" s="13" t="s">
        <v>95</v>
      </c>
      <c r="H42" s="13" t="s">
        <v>479</v>
      </c>
    </row>
    <row r="43" customFormat="false" ht="17.25" hidden="false" customHeight="true" outlineLevel="0" collapsed="false">
      <c r="A43" s="14" t="s">
        <v>167</v>
      </c>
      <c r="B43" s="15" t="s">
        <v>168</v>
      </c>
      <c r="C43" s="16" t="s">
        <v>478</v>
      </c>
      <c r="D43" s="16" t="s">
        <v>83</v>
      </c>
      <c r="E43" s="15" t="s">
        <v>172</v>
      </c>
      <c r="F43" s="15" t="s">
        <v>173</v>
      </c>
      <c r="G43" s="16" t="s">
        <v>83</v>
      </c>
      <c r="H43" s="16" t="s">
        <v>479</v>
      </c>
    </row>
    <row r="44" customFormat="false" ht="17.25" hidden="false" customHeight="true" outlineLevel="0" collapsed="false">
      <c r="A44" s="11" t="s">
        <v>167</v>
      </c>
      <c r="B44" s="12" t="s">
        <v>168</v>
      </c>
      <c r="C44" s="13" t="s">
        <v>478</v>
      </c>
      <c r="D44" s="13" t="s">
        <v>83</v>
      </c>
      <c r="E44" s="12" t="s">
        <v>177</v>
      </c>
      <c r="F44" s="12" t="s">
        <v>178</v>
      </c>
      <c r="G44" s="13" t="s">
        <v>83</v>
      </c>
      <c r="H44" s="13" t="s">
        <v>479</v>
      </c>
    </row>
    <row r="45" customFormat="false" ht="17.25" hidden="false" customHeight="true" outlineLevel="0" collapsed="false">
      <c r="A45" s="14" t="s">
        <v>167</v>
      </c>
      <c r="B45" s="15" t="s">
        <v>168</v>
      </c>
      <c r="C45" s="16" t="s">
        <v>478</v>
      </c>
      <c r="D45" s="16" t="s">
        <v>83</v>
      </c>
      <c r="E45" s="15" t="s">
        <v>350</v>
      </c>
      <c r="F45" s="15" t="s">
        <v>351</v>
      </c>
      <c r="G45" s="16" t="s">
        <v>83</v>
      </c>
      <c r="H45" s="16" t="s">
        <v>479</v>
      </c>
    </row>
    <row r="46" customFormat="false" ht="17.25" hidden="false" customHeight="true" outlineLevel="0" collapsed="false">
      <c r="A46" s="11" t="s">
        <v>167</v>
      </c>
      <c r="B46" s="12" t="s">
        <v>168</v>
      </c>
      <c r="C46" s="13" t="s">
        <v>478</v>
      </c>
      <c r="D46" s="13" t="s">
        <v>83</v>
      </c>
      <c r="E46" s="12" t="s">
        <v>355</v>
      </c>
      <c r="F46" s="12" t="s">
        <v>356</v>
      </c>
      <c r="G46" s="13" t="s">
        <v>83</v>
      </c>
      <c r="H46" s="13" t="s">
        <v>479</v>
      </c>
    </row>
    <row r="47" customFormat="false" ht="17.25" hidden="false" customHeight="true" outlineLevel="0" collapsed="false">
      <c r="A47" s="14" t="s">
        <v>172</v>
      </c>
      <c r="B47" s="15" t="s">
        <v>173</v>
      </c>
      <c r="C47" s="16" t="s">
        <v>478</v>
      </c>
      <c r="D47" s="16" t="s">
        <v>83</v>
      </c>
      <c r="E47" s="15" t="s">
        <v>359</v>
      </c>
      <c r="F47" s="15" t="s">
        <v>360</v>
      </c>
      <c r="G47" s="16" t="s">
        <v>83</v>
      </c>
      <c r="H47" s="16" t="s">
        <v>479</v>
      </c>
    </row>
    <row r="48" customFormat="false" ht="17.25" hidden="false" customHeight="true" outlineLevel="0" collapsed="false">
      <c r="A48" s="11" t="s">
        <v>177</v>
      </c>
      <c r="B48" s="12" t="s">
        <v>178</v>
      </c>
      <c r="C48" s="13" t="s">
        <v>478</v>
      </c>
      <c r="D48" s="13" t="s">
        <v>83</v>
      </c>
      <c r="E48" s="12" t="s">
        <v>182</v>
      </c>
      <c r="F48" s="12" t="s">
        <v>183</v>
      </c>
      <c r="G48" s="13" t="s">
        <v>83</v>
      </c>
      <c r="H48" s="13" t="s">
        <v>479</v>
      </c>
    </row>
    <row r="49" customFormat="false" ht="17.25" hidden="false" customHeight="true" outlineLevel="0" collapsed="false">
      <c r="A49" s="14" t="s">
        <v>177</v>
      </c>
      <c r="B49" s="15" t="s">
        <v>178</v>
      </c>
      <c r="C49" s="16" t="s">
        <v>478</v>
      </c>
      <c r="D49" s="16" t="s">
        <v>83</v>
      </c>
      <c r="E49" s="15" t="s">
        <v>363</v>
      </c>
      <c r="F49" s="15" t="s">
        <v>178</v>
      </c>
      <c r="G49" s="16" t="s">
        <v>83</v>
      </c>
      <c r="H49" s="16" t="s">
        <v>479</v>
      </c>
    </row>
    <row r="50" customFormat="false" ht="17.25" hidden="false" customHeight="true" outlineLevel="0" collapsed="false">
      <c r="A50" s="11" t="s">
        <v>182</v>
      </c>
      <c r="B50" s="12" t="s">
        <v>183</v>
      </c>
      <c r="C50" s="13" t="s">
        <v>478</v>
      </c>
      <c r="D50" s="13" t="s">
        <v>83</v>
      </c>
      <c r="E50" s="12" t="s">
        <v>209</v>
      </c>
      <c r="F50" s="12" t="s">
        <v>210</v>
      </c>
      <c r="G50" s="13" t="s">
        <v>87</v>
      </c>
      <c r="H50" s="13" t="s">
        <v>479</v>
      </c>
    </row>
    <row r="51" customFormat="false" ht="17.25" hidden="false" customHeight="true" outlineLevel="0" collapsed="false">
      <c r="A51" s="14" t="s">
        <v>182</v>
      </c>
      <c r="B51" s="15" t="s">
        <v>183</v>
      </c>
      <c r="C51" s="16" t="s">
        <v>478</v>
      </c>
      <c r="D51" s="16" t="s">
        <v>83</v>
      </c>
      <c r="E51" s="15" t="s">
        <v>189</v>
      </c>
      <c r="F51" s="15" t="s">
        <v>190</v>
      </c>
      <c r="G51" s="16" t="s">
        <v>83</v>
      </c>
      <c r="H51" s="16" t="s">
        <v>479</v>
      </c>
    </row>
    <row r="52" customFormat="false" ht="17.25" hidden="false" customHeight="true" outlineLevel="0" collapsed="false">
      <c r="A52" s="11" t="s">
        <v>182</v>
      </c>
      <c r="B52" s="12" t="s">
        <v>183</v>
      </c>
      <c r="C52" s="13" t="s">
        <v>478</v>
      </c>
      <c r="D52" s="13" t="s">
        <v>83</v>
      </c>
      <c r="E52" s="12" t="s">
        <v>338</v>
      </c>
      <c r="F52" s="12" t="s">
        <v>339</v>
      </c>
      <c r="G52" s="13" t="s">
        <v>83</v>
      </c>
      <c r="H52" s="13" t="s">
        <v>479</v>
      </c>
    </row>
    <row r="53" customFormat="false" ht="17.25" hidden="false" customHeight="true" outlineLevel="0" collapsed="false">
      <c r="A53" s="14" t="s">
        <v>182</v>
      </c>
      <c r="B53" s="15" t="s">
        <v>183</v>
      </c>
      <c r="C53" s="16" t="s">
        <v>478</v>
      </c>
      <c r="D53" s="16" t="s">
        <v>83</v>
      </c>
      <c r="E53" s="15" t="s">
        <v>366</v>
      </c>
      <c r="F53" s="15" t="s">
        <v>367</v>
      </c>
      <c r="G53" s="16" t="s">
        <v>83</v>
      </c>
      <c r="H53" s="16" t="s">
        <v>479</v>
      </c>
    </row>
    <row r="54" customFormat="false" ht="17.25" hidden="false" customHeight="true" outlineLevel="0" collapsed="false">
      <c r="A54" s="11" t="s">
        <v>193</v>
      </c>
      <c r="B54" s="12" t="s">
        <v>194</v>
      </c>
      <c r="C54" s="13" t="s">
        <v>478</v>
      </c>
      <c r="D54" s="13" t="s">
        <v>83</v>
      </c>
      <c r="E54" s="12" t="s">
        <v>242</v>
      </c>
      <c r="F54" s="12" t="s">
        <v>243</v>
      </c>
      <c r="G54" s="13" t="s">
        <v>91</v>
      </c>
      <c r="H54" s="13" t="s">
        <v>479</v>
      </c>
    </row>
    <row r="55" customFormat="false" ht="17.25" hidden="false" customHeight="true" outlineLevel="0" collapsed="false">
      <c r="A55" s="14" t="s">
        <v>193</v>
      </c>
      <c r="B55" s="15" t="s">
        <v>194</v>
      </c>
      <c r="C55" s="16" t="s">
        <v>478</v>
      </c>
      <c r="D55" s="16" t="s">
        <v>83</v>
      </c>
      <c r="E55" s="15" t="s">
        <v>370</v>
      </c>
      <c r="F55" s="15" t="s">
        <v>371</v>
      </c>
      <c r="G55" s="16" t="s">
        <v>83</v>
      </c>
      <c r="H55" s="16" t="s">
        <v>479</v>
      </c>
    </row>
    <row r="56" customFormat="false" ht="17.25" hidden="false" customHeight="true" outlineLevel="0" collapsed="false">
      <c r="A56" s="11" t="s">
        <v>128</v>
      </c>
      <c r="B56" s="12" t="s">
        <v>130</v>
      </c>
      <c r="C56" s="13" t="s">
        <v>478</v>
      </c>
      <c r="D56" s="13" t="s">
        <v>79</v>
      </c>
      <c r="E56" s="12" t="s">
        <v>139</v>
      </c>
      <c r="F56" s="12" t="s">
        <v>140</v>
      </c>
      <c r="G56" s="13" t="s">
        <v>79</v>
      </c>
      <c r="H56" s="13" t="s">
        <v>479</v>
      </c>
    </row>
    <row r="57" customFormat="false" ht="17.25" hidden="false" customHeight="true" outlineLevel="0" collapsed="false">
      <c r="A57" s="14" t="s">
        <v>128</v>
      </c>
      <c r="B57" s="15" t="s">
        <v>130</v>
      </c>
      <c r="C57" s="16" t="s">
        <v>478</v>
      </c>
      <c r="D57" s="16" t="s">
        <v>79</v>
      </c>
      <c r="E57" s="15" t="s">
        <v>146</v>
      </c>
      <c r="F57" s="15" t="s">
        <v>147</v>
      </c>
      <c r="G57" s="16" t="s">
        <v>79</v>
      </c>
      <c r="H57" s="16" t="s">
        <v>479</v>
      </c>
    </row>
    <row r="58" customFormat="false" ht="17.25" hidden="false" customHeight="true" outlineLevel="0" collapsed="false">
      <c r="A58" s="11" t="s">
        <v>128</v>
      </c>
      <c r="B58" s="12" t="s">
        <v>130</v>
      </c>
      <c r="C58" s="13" t="s">
        <v>478</v>
      </c>
      <c r="D58" s="13" t="s">
        <v>79</v>
      </c>
      <c r="E58" s="12" t="s">
        <v>152</v>
      </c>
      <c r="F58" s="12" t="s">
        <v>153</v>
      </c>
      <c r="G58" s="13" t="s">
        <v>79</v>
      </c>
      <c r="H58" s="13" t="s">
        <v>479</v>
      </c>
    </row>
    <row r="59" customFormat="false" ht="17.25" hidden="false" customHeight="true" outlineLevel="0" collapsed="false">
      <c r="A59" s="14" t="s">
        <v>128</v>
      </c>
      <c r="B59" s="15" t="s">
        <v>130</v>
      </c>
      <c r="C59" s="16" t="s">
        <v>478</v>
      </c>
      <c r="D59" s="16" t="s">
        <v>79</v>
      </c>
      <c r="E59" s="15" t="s">
        <v>409</v>
      </c>
      <c r="F59" s="15" t="s">
        <v>411</v>
      </c>
      <c r="G59" s="16" t="s">
        <v>79</v>
      </c>
      <c r="H59" s="16" t="s">
        <v>479</v>
      </c>
    </row>
    <row r="60" customFormat="false" ht="17.25" hidden="false" customHeight="true" outlineLevel="0" collapsed="false">
      <c r="A60" s="11" t="s">
        <v>139</v>
      </c>
      <c r="B60" s="12" t="s">
        <v>140</v>
      </c>
      <c r="C60" s="13" t="s">
        <v>478</v>
      </c>
      <c r="D60" s="13" t="s">
        <v>79</v>
      </c>
      <c r="E60" s="12" t="s">
        <v>167</v>
      </c>
      <c r="F60" s="12" t="s">
        <v>168</v>
      </c>
      <c r="G60" s="13" t="s">
        <v>83</v>
      </c>
      <c r="H60" s="13" t="s">
        <v>479</v>
      </c>
    </row>
    <row r="61" customFormat="false" ht="17.25" hidden="false" customHeight="true" outlineLevel="0" collapsed="false">
      <c r="A61" s="14" t="s">
        <v>146</v>
      </c>
      <c r="B61" s="15" t="s">
        <v>147</v>
      </c>
      <c r="C61" s="16" t="s">
        <v>478</v>
      </c>
      <c r="D61" s="16" t="s">
        <v>79</v>
      </c>
      <c r="E61" s="15" t="s">
        <v>193</v>
      </c>
      <c r="F61" s="15" t="s">
        <v>194</v>
      </c>
      <c r="G61" s="16" t="s">
        <v>83</v>
      </c>
      <c r="H61" s="16" t="s">
        <v>479</v>
      </c>
    </row>
    <row r="62" customFormat="false" ht="17.25" hidden="false" customHeight="true" outlineLevel="0" collapsed="false">
      <c r="A62" s="11" t="s">
        <v>146</v>
      </c>
      <c r="B62" s="12" t="s">
        <v>147</v>
      </c>
      <c r="C62" s="13" t="s">
        <v>478</v>
      </c>
      <c r="D62" s="13" t="s">
        <v>79</v>
      </c>
      <c r="E62" s="12" t="s">
        <v>157</v>
      </c>
      <c r="F62" s="12" t="s">
        <v>158</v>
      </c>
      <c r="G62" s="13" t="s">
        <v>79</v>
      </c>
      <c r="H62" s="13" t="s">
        <v>479</v>
      </c>
    </row>
    <row r="63" customFormat="false" ht="17.25" hidden="false" customHeight="true" outlineLevel="0" collapsed="false">
      <c r="A63" s="14" t="s">
        <v>146</v>
      </c>
      <c r="B63" s="15" t="s">
        <v>147</v>
      </c>
      <c r="C63" s="16" t="s">
        <v>478</v>
      </c>
      <c r="D63" s="16" t="s">
        <v>79</v>
      </c>
      <c r="E63" s="15" t="s">
        <v>162</v>
      </c>
      <c r="F63" s="15" t="s">
        <v>163</v>
      </c>
      <c r="G63" s="16" t="s">
        <v>79</v>
      </c>
      <c r="H63" s="16" t="s">
        <v>479</v>
      </c>
    </row>
    <row r="64" customFormat="false" ht="17.25" hidden="false" customHeight="true" outlineLevel="0" collapsed="false">
      <c r="A64" s="11" t="s">
        <v>146</v>
      </c>
      <c r="B64" s="12" t="s">
        <v>147</v>
      </c>
      <c r="C64" s="13" t="s">
        <v>478</v>
      </c>
      <c r="D64" s="13" t="s">
        <v>79</v>
      </c>
      <c r="E64" s="12" t="s">
        <v>409</v>
      </c>
      <c r="F64" s="12" t="s">
        <v>411</v>
      </c>
      <c r="G64" s="13" t="s">
        <v>79</v>
      </c>
      <c r="H64" s="13" t="s">
        <v>479</v>
      </c>
    </row>
    <row r="65" customFormat="false" ht="17.25" hidden="false" customHeight="true" outlineLevel="0" collapsed="false">
      <c r="A65" s="14" t="s">
        <v>162</v>
      </c>
      <c r="B65" s="15" t="s">
        <v>163</v>
      </c>
      <c r="C65" s="16" t="s">
        <v>478</v>
      </c>
      <c r="D65" s="16" t="s">
        <v>79</v>
      </c>
      <c r="E65" s="15" t="s">
        <v>375</v>
      </c>
      <c r="F65" s="15" t="s">
        <v>376</v>
      </c>
      <c r="G65" s="16" t="s">
        <v>79</v>
      </c>
      <c r="H65" s="16" t="s">
        <v>479</v>
      </c>
    </row>
    <row r="66" customFormat="false" ht="17.25" hidden="false" customHeight="true" outlineLevel="0" collapsed="false">
      <c r="A66" s="11" t="s">
        <v>230</v>
      </c>
      <c r="B66" s="12" t="s">
        <v>231</v>
      </c>
      <c r="C66" s="13" t="s">
        <v>478</v>
      </c>
      <c r="D66" s="13" t="s">
        <v>91</v>
      </c>
      <c r="E66" s="12" t="s">
        <v>235</v>
      </c>
      <c r="F66" s="12" t="s">
        <v>236</v>
      </c>
      <c r="G66" s="13" t="s">
        <v>91</v>
      </c>
      <c r="H66" s="13" t="s">
        <v>479</v>
      </c>
    </row>
    <row r="67" customFormat="false" ht="17.25" hidden="false" customHeight="true" outlineLevel="0" collapsed="false">
      <c r="A67" s="14" t="s">
        <v>230</v>
      </c>
      <c r="B67" s="15" t="s">
        <v>231</v>
      </c>
      <c r="C67" s="16" t="s">
        <v>478</v>
      </c>
      <c r="D67" s="16" t="s">
        <v>91</v>
      </c>
      <c r="E67" s="15" t="s">
        <v>428</v>
      </c>
      <c r="F67" s="15" t="s">
        <v>429</v>
      </c>
      <c r="G67" s="16" t="s">
        <v>91</v>
      </c>
      <c r="H67" s="16" t="s">
        <v>479</v>
      </c>
    </row>
    <row r="68" customFormat="false" ht="17.25" hidden="false" customHeight="true" outlineLevel="0" collapsed="false">
      <c r="A68" s="11" t="s">
        <v>230</v>
      </c>
      <c r="B68" s="12" t="s">
        <v>231</v>
      </c>
      <c r="C68" s="13" t="s">
        <v>478</v>
      </c>
      <c r="D68" s="13" t="s">
        <v>91</v>
      </c>
      <c r="E68" s="12" t="s">
        <v>392</v>
      </c>
      <c r="F68" s="12" t="s">
        <v>393</v>
      </c>
      <c r="G68" s="13" t="s">
        <v>91</v>
      </c>
      <c r="H68" s="13" t="s">
        <v>479</v>
      </c>
    </row>
    <row r="69" customFormat="false" ht="17.25" hidden="false" customHeight="true" outlineLevel="0" collapsed="false">
      <c r="A69" s="14" t="s">
        <v>235</v>
      </c>
      <c r="B69" s="15" t="s">
        <v>236</v>
      </c>
      <c r="C69" s="16" t="s">
        <v>478</v>
      </c>
      <c r="D69" s="16" t="s">
        <v>91</v>
      </c>
      <c r="E69" s="15" t="s">
        <v>242</v>
      </c>
      <c r="F69" s="15" t="s">
        <v>243</v>
      </c>
      <c r="G69" s="16" t="s">
        <v>91</v>
      </c>
      <c r="H69" s="16" t="s">
        <v>479</v>
      </c>
    </row>
    <row r="70" customFormat="false" ht="17.25" hidden="false" customHeight="true" outlineLevel="0" collapsed="false">
      <c r="A70" s="11" t="s">
        <v>235</v>
      </c>
      <c r="B70" s="12" t="s">
        <v>236</v>
      </c>
      <c r="C70" s="13" t="s">
        <v>478</v>
      </c>
      <c r="D70" s="13" t="s">
        <v>91</v>
      </c>
      <c r="E70" s="12" t="s">
        <v>247</v>
      </c>
      <c r="F70" s="12" t="s">
        <v>248</v>
      </c>
      <c r="G70" s="13" t="s">
        <v>91</v>
      </c>
      <c r="H70" s="13" t="s">
        <v>479</v>
      </c>
    </row>
    <row r="71" customFormat="false" ht="17.25" hidden="false" customHeight="true" outlineLevel="0" collapsed="false">
      <c r="A71" s="14" t="s">
        <v>242</v>
      </c>
      <c r="B71" s="15" t="s">
        <v>243</v>
      </c>
      <c r="C71" s="16" t="s">
        <v>478</v>
      </c>
      <c r="D71" s="16" t="s">
        <v>91</v>
      </c>
      <c r="E71" s="15" t="s">
        <v>370</v>
      </c>
      <c r="F71" s="15" t="s">
        <v>371</v>
      </c>
      <c r="G71" s="16" t="s">
        <v>83</v>
      </c>
      <c r="H71" s="16" t="s">
        <v>479</v>
      </c>
    </row>
    <row r="72" customFormat="false" ht="17.25" hidden="false" customHeight="true" outlineLevel="0" collapsed="false">
      <c r="A72" s="11" t="s">
        <v>284</v>
      </c>
      <c r="B72" s="12" t="s">
        <v>286</v>
      </c>
      <c r="C72" s="13" t="s">
        <v>478</v>
      </c>
      <c r="D72" s="13" t="s">
        <v>91</v>
      </c>
      <c r="E72" s="12" t="s">
        <v>297</v>
      </c>
      <c r="F72" s="12" t="s">
        <v>298</v>
      </c>
      <c r="G72" s="13" t="s">
        <v>91</v>
      </c>
      <c r="H72" s="13" t="s">
        <v>479</v>
      </c>
    </row>
    <row r="73" customFormat="false" ht="17.25" hidden="false" customHeight="true" outlineLevel="0" collapsed="false">
      <c r="A73" s="14" t="s">
        <v>284</v>
      </c>
      <c r="B73" s="15" t="s">
        <v>286</v>
      </c>
      <c r="C73" s="16" t="s">
        <v>478</v>
      </c>
      <c r="D73" s="16" t="s">
        <v>91</v>
      </c>
      <c r="E73" s="15" t="s">
        <v>400</v>
      </c>
      <c r="F73" s="15" t="s">
        <v>401</v>
      </c>
      <c r="G73" s="16" t="s">
        <v>91</v>
      </c>
      <c r="H73" s="16" t="s">
        <v>479</v>
      </c>
    </row>
    <row r="74" customFormat="false" ht="17.25" hidden="false" customHeight="true" outlineLevel="0" collapsed="false">
      <c r="A74" s="11" t="s">
        <v>291</v>
      </c>
      <c r="B74" s="12" t="s">
        <v>292</v>
      </c>
      <c r="C74" s="13" t="s">
        <v>478</v>
      </c>
      <c r="D74" s="13" t="s">
        <v>91</v>
      </c>
      <c r="E74" s="12" t="s">
        <v>302</v>
      </c>
      <c r="F74" s="12" t="s">
        <v>303</v>
      </c>
      <c r="G74" s="13" t="s">
        <v>91</v>
      </c>
      <c r="H74" s="13" t="s">
        <v>479</v>
      </c>
    </row>
    <row r="75" customFormat="false" ht="17.25" hidden="false" customHeight="true" outlineLevel="0" collapsed="false">
      <c r="A75" s="14" t="s">
        <v>291</v>
      </c>
      <c r="B75" s="15" t="s">
        <v>292</v>
      </c>
      <c r="C75" s="16" t="s">
        <v>478</v>
      </c>
      <c r="D75" s="16" t="s">
        <v>91</v>
      </c>
      <c r="E75" s="15" t="s">
        <v>400</v>
      </c>
      <c r="F75" s="15" t="s">
        <v>401</v>
      </c>
      <c r="G75" s="16" t="s">
        <v>91</v>
      </c>
      <c r="H75" s="16" t="s">
        <v>479</v>
      </c>
    </row>
    <row r="76" customFormat="false" ht="17.25" hidden="false" customHeight="true" outlineLevel="0" collapsed="false">
      <c r="A76" s="11" t="s">
        <v>306</v>
      </c>
      <c r="B76" s="12" t="s">
        <v>309</v>
      </c>
      <c r="C76" s="13" t="s">
        <v>478</v>
      </c>
      <c r="D76" s="13" t="s">
        <v>87</v>
      </c>
      <c r="E76" s="12" t="s">
        <v>313</v>
      </c>
      <c r="F76" s="12" t="s">
        <v>314</v>
      </c>
      <c r="G76" s="13" t="s">
        <v>87</v>
      </c>
      <c r="H76" s="13" t="s">
        <v>479</v>
      </c>
    </row>
    <row r="77" customFormat="false" ht="17.25" hidden="false" customHeight="true" outlineLevel="0" collapsed="false">
      <c r="A77" s="14" t="s">
        <v>318</v>
      </c>
      <c r="B77" s="15" t="s">
        <v>319</v>
      </c>
      <c r="C77" s="16" t="s">
        <v>478</v>
      </c>
      <c r="D77" s="16" t="s">
        <v>87</v>
      </c>
      <c r="E77" s="15" t="s">
        <v>322</v>
      </c>
      <c r="F77" s="15" t="s">
        <v>323</v>
      </c>
      <c r="G77" s="16" t="s">
        <v>87</v>
      </c>
      <c r="H77" s="16" t="s">
        <v>479</v>
      </c>
    </row>
    <row r="78" customFormat="false" ht="17.25" hidden="false" customHeight="true" outlineLevel="0" collapsed="false">
      <c r="A78" s="11" t="s">
        <v>400</v>
      </c>
      <c r="B78" s="12" t="s">
        <v>401</v>
      </c>
      <c r="C78" s="13" t="s">
        <v>478</v>
      </c>
      <c r="D78" s="13" t="s">
        <v>91</v>
      </c>
      <c r="E78" s="12" t="s">
        <v>405</v>
      </c>
      <c r="F78" s="12" t="s">
        <v>406</v>
      </c>
      <c r="G78" s="13" t="s">
        <v>91</v>
      </c>
      <c r="H78" s="13" t="s">
        <v>479</v>
      </c>
    </row>
    <row r="79" customFormat="false" ht="17.25" hidden="false" customHeight="true" outlineLevel="0" collapsed="false">
      <c r="A79" s="14" t="s">
        <v>480</v>
      </c>
      <c r="B79" s="15" t="s">
        <v>481</v>
      </c>
      <c r="C79" s="16" t="s">
        <v>451</v>
      </c>
      <c r="D79" s="16" t="s">
        <v>482</v>
      </c>
      <c r="E79" s="15" t="s">
        <v>306</v>
      </c>
      <c r="F79" s="15" t="s">
        <v>309</v>
      </c>
      <c r="G79" s="16" t="s">
        <v>87</v>
      </c>
      <c r="H79" s="19" t="s">
        <v>453</v>
      </c>
    </row>
    <row r="80" customFormat="false" ht="17.25" hidden="false" customHeight="true" outlineLevel="0" collapsed="false">
      <c r="A80" s="11" t="s">
        <v>483</v>
      </c>
      <c r="B80" s="12" t="s">
        <v>484</v>
      </c>
      <c r="C80" s="13" t="s">
        <v>451</v>
      </c>
      <c r="D80" s="13" t="s">
        <v>482</v>
      </c>
      <c r="E80" s="12" t="s">
        <v>350</v>
      </c>
      <c r="F80" s="12" t="s">
        <v>351</v>
      </c>
      <c r="G80" s="13" t="s">
        <v>83</v>
      </c>
      <c r="H80" s="19" t="s">
        <v>453</v>
      </c>
    </row>
  </sheetData>
  <autoFilter ref="A1:H8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2"/>
    <col collapsed="false" customWidth="true" hidden="false" outlineLevel="0" max="3" min="3" style="0" width="20"/>
    <col collapsed="false" customWidth="true" hidden="false" outlineLevel="0" max="4" min="4" style="0" width="26"/>
    <col collapsed="false" customWidth="true" hidden="false" outlineLevel="0" max="5" min="5" style="0" width="13"/>
  </cols>
  <sheetData>
    <row r="1" customFormat="false" ht="30" hidden="false" customHeight="true" outlineLevel="0" collapsed="false">
      <c r="A1" s="10" t="s">
        <v>485</v>
      </c>
      <c r="B1" s="10" t="s">
        <v>486</v>
      </c>
      <c r="C1" s="10" t="s">
        <v>487</v>
      </c>
      <c r="D1" s="10" t="s">
        <v>488</v>
      </c>
      <c r="E1" s="10" t="s">
        <v>489</v>
      </c>
    </row>
    <row r="2" customFormat="false" ht="28.5" hidden="false" customHeight="true" outlineLevel="0" collapsed="false">
      <c r="A2" s="11" t="s">
        <v>490</v>
      </c>
      <c r="B2" s="12" t="s">
        <v>491</v>
      </c>
      <c r="C2" s="12" t="s">
        <v>199</v>
      </c>
      <c r="D2" s="12" t="s">
        <v>492</v>
      </c>
      <c r="E2" s="13" t="s">
        <v>479</v>
      </c>
    </row>
    <row r="3" customFormat="false" ht="28.5" hidden="false" customHeight="true" outlineLevel="0" collapsed="false">
      <c r="A3" s="14" t="s">
        <v>493</v>
      </c>
      <c r="B3" s="15" t="s">
        <v>494</v>
      </c>
      <c r="C3" s="15" t="s">
        <v>495</v>
      </c>
      <c r="D3" s="15" t="s">
        <v>496</v>
      </c>
      <c r="E3" s="16" t="s">
        <v>479</v>
      </c>
    </row>
    <row r="4" customFormat="false" ht="28.5" hidden="false" customHeight="true" outlineLevel="0" collapsed="false">
      <c r="A4" s="33" t="s">
        <v>497</v>
      </c>
      <c r="B4" s="34" t="s">
        <v>498</v>
      </c>
      <c r="C4" s="34" t="s">
        <v>85</v>
      </c>
      <c r="D4" s="34" t="s">
        <v>499</v>
      </c>
      <c r="E4" s="20" t="s">
        <v>453</v>
      </c>
    </row>
    <row r="5" customFormat="false" ht="28.5" hidden="false" customHeight="true" outlineLevel="0" collapsed="false">
      <c r="A5" s="14" t="s">
        <v>500</v>
      </c>
      <c r="B5" s="15" t="s">
        <v>501</v>
      </c>
      <c r="C5" s="15" t="s">
        <v>502</v>
      </c>
      <c r="D5" s="15" t="s">
        <v>503</v>
      </c>
      <c r="E5" s="16" t="s">
        <v>479</v>
      </c>
    </row>
    <row r="6" customFormat="false" ht="28.5" hidden="false" customHeight="true" outlineLevel="0" collapsed="false">
      <c r="A6" s="33" t="s">
        <v>504</v>
      </c>
      <c r="B6" s="34" t="s">
        <v>505</v>
      </c>
      <c r="C6" s="34" t="s">
        <v>77</v>
      </c>
      <c r="D6" s="34" t="s">
        <v>139</v>
      </c>
      <c r="E6" s="20" t="s">
        <v>453</v>
      </c>
    </row>
    <row r="7" customFormat="false" ht="17.25" hidden="false" customHeight="true" outlineLevel="0" collapsed="false">
      <c r="A7" s="14" t="s">
        <v>506</v>
      </c>
      <c r="B7" s="15" t="s">
        <v>507</v>
      </c>
      <c r="C7" s="15" t="s">
        <v>199</v>
      </c>
      <c r="D7" s="15" t="s">
        <v>473</v>
      </c>
      <c r="E7" s="16" t="s">
        <v>479</v>
      </c>
    </row>
    <row r="8" customFormat="false" ht="28.5" hidden="false" customHeight="true" outlineLevel="0" collapsed="false">
      <c r="A8" s="11" t="s">
        <v>508</v>
      </c>
      <c r="B8" s="12" t="s">
        <v>509</v>
      </c>
      <c r="C8" s="12" t="s">
        <v>199</v>
      </c>
      <c r="D8" s="12" t="s">
        <v>510</v>
      </c>
      <c r="E8" s="13" t="s">
        <v>479</v>
      </c>
    </row>
    <row r="9" customFormat="false" ht="17.25" hidden="false" customHeight="true" outlineLevel="0" collapsed="false">
      <c r="A9" s="14" t="s">
        <v>511</v>
      </c>
      <c r="B9" s="15" t="s">
        <v>512</v>
      </c>
      <c r="C9" s="15" t="s">
        <v>513</v>
      </c>
      <c r="D9" s="15" t="s">
        <v>514</v>
      </c>
      <c r="E9" s="16" t="s">
        <v>479</v>
      </c>
    </row>
    <row r="10" customFormat="false" ht="28.5" hidden="false" customHeight="true" outlineLevel="0" collapsed="false">
      <c r="A10" s="11" t="s">
        <v>515</v>
      </c>
      <c r="B10" s="12" t="s">
        <v>516</v>
      </c>
      <c r="C10" s="12" t="s">
        <v>517</v>
      </c>
      <c r="D10" s="12" t="s">
        <v>518</v>
      </c>
      <c r="E10" s="13" t="s">
        <v>479</v>
      </c>
    </row>
    <row r="11" customFormat="false" ht="28.5" hidden="false" customHeight="true" outlineLevel="0" collapsed="false">
      <c r="A11" s="33" t="s">
        <v>519</v>
      </c>
      <c r="B11" s="34" t="s">
        <v>520</v>
      </c>
      <c r="C11" s="34" t="s">
        <v>93</v>
      </c>
      <c r="D11" s="34" t="s">
        <v>252</v>
      </c>
      <c r="E11" s="20" t="s">
        <v>453</v>
      </c>
    </row>
    <row r="12" customFormat="false" ht="28.5" hidden="false" customHeight="true" outlineLevel="0" collapsed="false">
      <c r="A12" s="33" t="s">
        <v>521</v>
      </c>
      <c r="B12" s="34" t="s">
        <v>522</v>
      </c>
      <c r="C12" s="34" t="s">
        <v>523</v>
      </c>
      <c r="D12" s="34" t="s">
        <v>258</v>
      </c>
      <c r="E12" s="20" t="s">
        <v>453</v>
      </c>
    </row>
    <row r="13" customFormat="false" ht="28.5" hidden="false" customHeight="true" outlineLevel="0" collapsed="false">
      <c r="A13" s="33" t="s">
        <v>524</v>
      </c>
      <c r="B13" s="34" t="s">
        <v>525</v>
      </c>
      <c r="C13" s="34" t="s">
        <v>526</v>
      </c>
      <c r="D13" s="34" t="s">
        <v>527</v>
      </c>
      <c r="E13" s="20" t="s">
        <v>453</v>
      </c>
    </row>
    <row r="14" customFormat="false" ht="28.5" hidden="false" customHeight="true" outlineLevel="0" collapsed="false">
      <c r="A14" s="33" t="s">
        <v>528</v>
      </c>
      <c r="B14" s="34" t="s">
        <v>529</v>
      </c>
      <c r="C14" s="34" t="s">
        <v>530</v>
      </c>
      <c r="D14" s="34" t="s">
        <v>531</v>
      </c>
      <c r="E14" s="20" t="s">
        <v>453</v>
      </c>
    </row>
    <row r="15" customFormat="false" ht="28.5" hidden="false" customHeight="true" outlineLevel="0" collapsed="false">
      <c r="A15" s="33" t="s">
        <v>532</v>
      </c>
      <c r="B15" s="34" t="s">
        <v>533</v>
      </c>
      <c r="C15" s="34" t="s">
        <v>534</v>
      </c>
      <c r="D15" s="34" t="s">
        <v>128</v>
      </c>
      <c r="E15" s="20" t="s">
        <v>453</v>
      </c>
    </row>
    <row r="16" customFormat="false" ht="28.5" hidden="false" customHeight="true" outlineLevel="0" collapsed="false">
      <c r="A16" s="11" t="s">
        <v>535</v>
      </c>
      <c r="B16" s="12" t="s">
        <v>536</v>
      </c>
      <c r="C16" s="12" t="s">
        <v>537</v>
      </c>
      <c r="D16" s="12" t="s">
        <v>538</v>
      </c>
      <c r="E16" s="13" t="s">
        <v>479</v>
      </c>
    </row>
    <row r="17" customFormat="false" ht="28.5" hidden="false" customHeight="true" outlineLevel="0" collapsed="false">
      <c r="A17" s="14" t="s">
        <v>539</v>
      </c>
      <c r="B17" s="15" t="s">
        <v>540</v>
      </c>
      <c r="C17" s="15" t="s">
        <v>541</v>
      </c>
      <c r="D17" s="15" t="s">
        <v>542</v>
      </c>
      <c r="E17" s="16" t="s">
        <v>479</v>
      </c>
    </row>
    <row r="18" customFormat="false" ht="28.5" hidden="false" customHeight="true" outlineLevel="0" collapsed="false">
      <c r="A18" s="11" t="s">
        <v>543</v>
      </c>
      <c r="B18" s="12" t="s">
        <v>544</v>
      </c>
      <c r="C18" s="12" t="s">
        <v>545</v>
      </c>
      <c r="D18" s="12" t="s">
        <v>546</v>
      </c>
      <c r="E18" s="13" t="s">
        <v>479</v>
      </c>
    </row>
    <row r="19" customFormat="false" ht="28.5" hidden="false" customHeight="true" outlineLevel="0" collapsed="false">
      <c r="A19" s="14" t="s">
        <v>547</v>
      </c>
      <c r="B19" s="15" t="s">
        <v>548</v>
      </c>
      <c r="C19" s="15" t="s">
        <v>541</v>
      </c>
      <c r="D19" s="15" t="s">
        <v>549</v>
      </c>
      <c r="E19" s="16" t="s">
        <v>479</v>
      </c>
    </row>
    <row r="20" customFormat="false" ht="28.5" hidden="false" customHeight="true" outlineLevel="0" collapsed="false">
      <c r="A20" s="33" t="s">
        <v>550</v>
      </c>
      <c r="B20" s="34" t="s">
        <v>551</v>
      </c>
      <c r="C20" s="34" t="s">
        <v>552</v>
      </c>
      <c r="D20" s="34" t="s">
        <v>198</v>
      </c>
      <c r="E20" s="20" t="s">
        <v>453</v>
      </c>
    </row>
    <row r="21" customFormat="false" ht="28.5" hidden="false" customHeight="true" outlineLevel="0" collapsed="false">
      <c r="A21" s="14" t="s">
        <v>553</v>
      </c>
      <c r="B21" s="15" t="s">
        <v>554</v>
      </c>
      <c r="C21" s="15" t="s">
        <v>513</v>
      </c>
      <c r="D21" s="15" t="s">
        <v>514</v>
      </c>
      <c r="E21" s="16" t="s">
        <v>479</v>
      </c>
    </row>
    <row r="22" customFormat="false" ht="40.5" hidden="false" customHeight="true" outlineLevel="0" collapsed="false">
      <c r="A22" s="33" t="s">
        <v>555</v>
      </c>
      <c r="B22" s="34" t="s">
        <v>556</v>
      </c>
      <c r="C22" s="34" t="s">
        <v>557</v>
      </c>
      <c r="D22" s="34" t="s">
        <v>558</v>
      </c>
      <c r="E22" s="20" t="s">
        <v>453</v>
      </c>
    </row>
    <row r="23" customFormat="false" ht="28.5" hidden="false" customHeight="true" outlineLevel="0" collapsed="false">
      <c r="A23" s="33" t="s">
        <v>559</v>
      </c>
      <c r="B23" s="34" t="s">
        <v>560</v>
      </c>
      <c r="C23" s="34" t="s">
        <v>81</v>
      </c>
      <c r="D23" s="34" t="s">
        <v>182</v>
      </c>
      <c r="E23" s="20" t="s">
        <v>453</v>
      </c>
    </row>
    <row r="24" customFormat="false" ht="28.5" hidden="false" customHeight="true" outlineLevel="0" collapsed="false">
      <c r="A24" s="33" t="s">
        <v>561</v>
      </c>
      <c r="B24" s="34" t="s">
        <v>562</v>
      </c>
      <c r="C24" s="34" t="s">
        <v>199</v>
      </c>
      <c r="D24" s="34" t="s">
        <v>198</v>
      </c>
      <c r="E24" s="20" t="s">
        <v>453</v>
      </c>
    </row>
    <row r="25" customFormat="false" ht="28.5" hidden="false" customHeight="true" outlineLevel="0" collapsed="false">
      <c r="A25" s="33" t="s">
        <v>563</v>
      </c>
      <c r="B25" s="34" t="s">
        <v>564</v>
      </c>
      <c r="C25" s="34" t="s">
        <v>89</v>
      </c>
      <c r="D25" s="34" t="s">
        <v>565</v>
      </c>
      <c r="E25" s="20" t="s">
        <v>453</v>
      </c>
    </row>
    <row r="26" customFormat="false" ht="28.5" hidden="false" customHeight="true" outlineLevel="0" collapsed="false">
      <c r="A26" s="33" t="s">
        <v>566</v>
      </c>
      <c r="B26" s="34" t="s">
        <v>567</v>
      </c>
      <c r="C26" s="34" t="s">
        <v>85</v>
      </c>
      <c r="D26" s="34" t="s">
        <v>209</v>
      </c>
      <c r="E26" s="20" t="s">
        <v>453</v>
      </c>
    </row>
    <row r="27" customFormat="false" ht="28.5" hidden="false" customHeight="true" outlineLevel="0" collapsed="false">
      <c r="A27" s="14" t="s">
        <v>568</v>
      </c>
      <c r="B27" s="15" t="s">
        <v>569</v>
      </c>
      <c r="C27" s="15" t="s">
        <v>570</v>
      </c>
      <c r="D27" s="15" t="s">
        <v>571</v>
      </c>
      <c r="E27" s="16" t="s">
        <v>479</v>
      </c>
    </row>
    <row r="28" customFormat="false" ht="28.5" hidden="false" customHeight="true" outlineLevel="0" collapsed="false">
      <c r="A28" s="11" t="s">
        <v>572</v>
      </c>
      <c r="B28" s="12" t="s">
        <v>573</v>
      </c>
      <c r="C28" s="12" t="s">
        <v>502</v>
      </c>
      <c r="D28" s="12" t="s">
        <v>574</v>
      </c>
      <c r="E28" s="13" t="s">
        <v>479</v>
      </c>
    </row>
    <row r="29" customFormat="false" ht="28.5" hidden="false" customHeight="true" outlineLevel="0" collapsed="false">
      <c r="A29" s="14" t="s">
        <v>575</v>
      </c>
      <c r="B29" s="15" t="s">
        <v>576</v>
      </c>
      <c r="C29" s="15" t="s">
        <v>199</v>
      </c>
      <c r="D29" s="15" t="s">
        <v>492</v>
      </c>
      <c r="E29" s="16" t="s">
        <v>479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52"/>
    <col collapsed="false" customWidth="true" hidden="false" outlineLevel="0" max="4" min="4" style="0" width="32"/>
    <col collapsed="false" customWidth="true" hidden="false" outlineLevel="0" max="5" min="5" style="0" width="13"/>
  </cols>
  <sheetData>
    <row r="1" customFormat="false" ht="30" hidden="false" customHeight="true" outlineLevel="0" collapsed="false">
      <c r="A1" s="10" t="s">
        <v>577</v>
      </c>
      <c r="B1" s="10" t="s">
        <v>578</v>
      </c>
      <c r="C1" s="10" t="s">
        <v>579</v>
      </c>
      <c r="D1" s="10" t="s">
        <v>580</v>
      </c>
      <c r="E1" s="10" t="s">
        <v>489</v>
      </c>
    </row>
    <row r="2" customFormat="false" ht="28.5" hidden="false" customHeight="true" outlineLevel="0" collapsed="false">
      <c r="A2" s="11" t="s">
        <v>581</v>
      </c>
      <c r="B2" s="12" t="s">
        <v>582</v>
      </c>
      <c r="C2" s="12" t="s">
        <v>583</v>
      </c>
      <c r="D2" s="12" t="s">
        <v>584</v>
      </c>
      <c r="E2" s="13" t="s">
        <v>479</v>
      </c>
    </row>
    <row r="3" customFormat="false" ht="17.25" hidden="false" customHeight="true" outlineLevel="0" collapsed="false">
      <c r="A3" s="14" t="s">
        <v>585</v>
      </c>
      <c r="B3" s="15" t="s">
        <v>586</v>
      </c>
      <c r="C3" s="15" t="s">
        <v>587</v>
      </c>
      <c r="D3" s="15" t="s">
        <v>588</v>
      </c>
      <c r="E3" s="16" t="s">
        <v>479</v>
      </c>
    </row>
    <row r="4" customFormat="false" ht="28.5" hidden="false" customHeight="true" outlineLevel="0" collapsed="false">
      <c r="A4" s="33" t="s">
        <v>589</v>
      </c>
      <c r="B4" s="34" t="s">
        <v>590</v>
      </c>
      <c r="C4" s="34" t="s">
        <v>591</v>
      </c>
      <c r="D4" s="34" t="s">
        <v>592</v>
      </c>
      <c r="E4" s="20" t="s">
        <v>453</v>
      </c>
    </row>
    <row r="5" customFormat="false" ht="28.5" hidden="false" customHeight="true" outlineLevel="0" collapsed="false">
      <c r="A5" s="14" t="s">
        <v>593</v>
      </c>
      <c r="B5" s="15" t="s">
        <v>594</v>
      </c>
      <c r="C5" s="15" t="s">
        <v>595</v>
      </c>
      <c r="D5" s="15" t="s">
        <v>596</v>
      </c>
      <c r="E5" s="16" t="s">
        <v>479</v>
      </c>
    </row>
    <row r="6" customFormat="false" ht="28.5" hidden="false" customHeight="true" outlineLevel="0" collapsed="false">
      <c r="A6" s="33" t="s">
        <v>597</v>
      </c>
      <c r="B6" s="34" t="s">
        <v>598</v>
      </c>
      <c r="C6" s="34" t="s">
        <v>599</v>
      </c>
      <c r="D6" s="34" t="s">
        <v>600</v>
      </c>
      <c r="E6" s="20" t="s">
        <v>453</v>
      </c>
    </row>
    <row r="7" customFormat="false" ht="28.5" hidden="false" customHeight="true" outlineLevel="0" collapsed="false">
      <c r="A7" s="33" t="s">
        <v>601</v>
      </c>
      <c r="B7" s="34" t="s">
        <v>602</v>
      </c>
      <c r="C7" s="34" t="s">
        <v>603</v>
      </c>
      <c r="D7" s="34" t="s">
        <v>604</v>
      </c>
      <c r="E7" s="20" t="s">
        <v>453</v>
      </c>
    </row>
    <row r="8" customFormat="false" ht="28.5" hidden="false" customHeight="true" outlineLevel="0" collapsed="false">
      <c r="A8" s="33" t="s">
        <v>605</v>
      </c>
      <c r="B8" s="34" t="s">
        <v>606</v>
      </c>
      <c r="C8" s="34" t="s">
        <v>607</v>
      </c>
      <c r="D8" s="34" t="s">
        <v>608</v>
      </c>
      <c r="E8" s="20" t="s">
        <v>453</v>
      </c>
    </row>
    <row r="9" customFormat="false" ht="28.5" hidden="false" customHeight="true" outlineLevel="0" collapsed="false">
      <c r="A9" s="14" t="s">
        <v>609</v>
      </c>
      <c r="B9" s="15" t="s">
        <v>610</v>
      </c>
      <c r="C9" s="15" t="s">
        <v>611</v>
      </c>
      <c r="D9" s="15" t="s">
        <v>612</v>
      </c>
      <c r="E9" s="16" t="s">
        <v>479</v>
      </c>
    </row>
    <row r="10" customFormat="false" ht="28.5" hidden="false" customHeight="true" outlineLevel="0" collapsed="false">
      <c r="A10" s="11" t="s">
        <v>613</v>
      </c>
      <c r="B10" s="12" t="s">
        <v>614</v>
      </c>
      <c r="C10" s="12" t="s">
        <v>615</v>
      </c>
      <c r="D10" s="12" t="s">
        <v>616</v>
      </c>
      <c r="E10" s="13" t="s">
        <v>479</v>
      </c>
    </row>
    <row r="11" customFormat="false" ht="28.5" hidden="false" customHeight="true" outlineLevel="0" collapsed="false">
      <c r="A11" s="14" t="s">
        <v>617</v>
      </c>
      <c r="B11" s="15" t="s">
        <v>618</v>
      </c>
      <c r="C11" s="15" t="s">
        <v>619</v>
      </c>
      <c r="D11" s="15" t="s">
        <v>620</v>
      </c>
      <c r="E11" s="16" t="s">
        <v>479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5"/>
    <col collapsed="false" customWidth="true" hidden="false" outlineLevel="0" max="4" min="4" style="0" width="9"/>
    <col collapsed="false" customWidth="true" hidden="false" outlineLevel="0" max="5" min="5" style="0" width="10"/>
  </cols>
  <sheetData>
    <row r="1" customFormat="false" ht="30" hidden="false" customHeight="true" outlineLevel="0" collapsed="false">
      <c r="A1" s="10" t="s">
        <v>621</v>
      </c>
      <c r="B1" s="10" t="s">
        <v>622</v>
      </c>
      <c r="C1" s="10" t="s">
        <v>623</v>
      </c>
      <c r="D1" s="10" t="s">
        <v>120</v>
      </c>
      <c r="E1" s="10" t="s">
        <v>116</v>
      </c>
    </row>
    <row r="2" customFormat="false" ht="17.25" hidden="false" customHeight="true" outlineLevel="0" collapsed="false">
      <c r="A2" s="12" t="s">
        <v>85</v>
      </c>
      <c r="B2" s="12" t="s">
        <v>624</v>
      </c>
      <c r="C2" s="12" t="s">
        <v>209</v>
      </c>
      <c r="D2" s="13" t="s">
        <v>87</v>
      </c>
      <c r="E2" s="13" t="s">
        <v>129</v>
      </c>
    </row>
    <row r="3" customFormat="false" ht="17.25" hidden="false" customHeight="true" outlineLevel="0" collapsed="false">
      <c r="A3" s="15" t="s">
        <v>85</v>
      </c>
      <c r="B3" s="15" t="s">
        <v>625</v>
      </c>
      <c r="C3" s="15" t="s">
        <v>209</v>
      </c>
      <c r="D3" s="16" t="s">
        <v>87</v>
      </c>
      <c r="E3" s="16" t="s">
        <v>129</v>
      </c>
    </row>
    <row r="4" customFormat="false" ht="17.25" hidden="false" customHeight="true" outlineLevel="0" collapsed="false">
      <c r="A4" s="12" t="s">
        <v>85</v>
      </c>
      <c r="B4" s="12" t="s">
        <v>626</v>
      </c>
      <c r="C4" s="12" t="s">
        <v>215</v>
      </c>
      <c r="D4" s="13" t="s">
        <v>87</v>
      </c>
      <c r="E4" s="13" t="s">
        <v>129</v>
      </c>
    </row>
    <row r="5" customFormat="false" ht="17.25" hidden="false" customHeight="true" outlineLevel="0" collapsed="false">
      <c r="A5" s="15" t="s">
        <v>85</v>
      </c>
      <c r="B5" s="15" t="s">
        <v>627</v>
      </c>
      <c r="C5" s="15" t="s">
        <v>215</v>
      </c>
      <c r="D5" s="16" t="s">
        <v>87</v>
      </c>
      <c r="E5" s="16" t="s">
        <v>129</v>
      </c>
    </row>
    <row r="6" customFormat="false" ht="17.25" hidden="false" customHeight="true" outlineLevel="0" collapsed="false">
      <c r="A6" s="12" t="s">
        <v>85</v>
      </c>
      <c r="B6" s="12" t="s">
        <v>222</v>
      </c>
      <c r="C6" s="12" t="s">
        <v>220</v>
      </c>
      <c r="D6" s="13" t="s">
        <v>87</v>
      </c>
      <c r="E6" s="13" t="s">
        <v>129</v>
      </c>
    </row>
    <row r="7" customFormat="false" ht="17.25" hidden="false" customHeight="true" outlineLevel="0" collapsed="false">
      <c r="A7" s="15" t="s">
        <v>93</v>
      </c>
      <c r="B7" s="15" t="s">
        <v>628</v>
      </c>
      <c r="C7" s="15" t="s">
        <v>252</v>
      </c>
      <c r="D7" s="16" t="s">
        <v>95</v>
      </c>
      <c r="E7" s="16" t="s">
        <v>129</v>
      </c>
    </row>
    <row r="8" customFormat="false" ht="17.25" hidden="false" customHeight="true" outlineLevel="0" collapsed="false">
      <c r="A8" s="12" t="s">
        <v>93</v>
      </c>
      <c r="B8" s="12" t="s">
        <v>629</v>
      </c>
      <c r="C8" s="12" t="s">
        <v>252</v>
      </c>
      <c r="D8" s="13" t="s">
        <v>95</v>
      </c>
      <c r="E8" s="13" t="s">
        <v>129</v>
      </c>
    </row>
    <row r="9" customFormat="false" ht="17.25" hidden="false" customHeight="true" outlineLevel="0" collapsed="false">
      <c r="A9" s="15" t="s">
        <v>93</v>
      </c>
      <c r="B9" s="15" t="s">
        <v>630</v>
      </c>
      <c r="C9" s="15" t="s">
        <v>258</v>
      </c>
      <c r="D9" s="16" t="s">
        <v>95</v>
      </c>
      <c r="E9" s="16" t="s">
        <v>129</v>
      </c>
    </row>
    <row r="10" customFormat="false" ht="17.25" hidden="false" customHeight="true" outlineLevel="0" collapsed="false">
      <c r="A10" s="12" t="s">
        <v>93</v>
      </c>
      <c r="B10" s="12" t="s">
        <v>631</v>
      </c>
      <c r="C10" s="12" t="s">
        <v>258</v>
      </c>
      <c r="D10" s="13" t="s">
        <v>95</v>
      </c>
      <c r="E10" s="13" t="s">
        <v>129</v>
      </c>
    </row>
    <row r="11" customFormat="false" ht="17.25" hidden="false" customHeight="true" outlineLevel="0" collapsed="false">
      <c r="A11" s="15" t="s">
        <v>93</v>
      </c>
      <c r="B11" s="15" t="s">
        <v>267</v>
      </c>
      <c r="C11" s="15" t="s">
        <v>265</v>
      </c>
      <c r="D11" s="16" t="s">
        <v>95</v>
      </c>
      <c r="E11" s="16" t="s">
        <v>129</v>
      </c>
    </row>
    <row r="12" customFormat="false" ht="17.25" hidden="false" customHeight="true" outlineLevel="0" collapsed="false">
      <c r="A12" s="12" t="s">
        <v>93</v>
      </c>
      <c r="B12" s="12" t="s">
        <v>632</v>
      </c>
      <c r="C12" s="12" t="s">
        <v>270</v>
      </c>
      <c r="D12" s="13" t="s">
        <v>95</v>
      </c>
      <c r="E12" s="13" t="s">
        <v>129</v>
      </c>
    </row>
    <row r="13" customFormat="false" ht="17.25" hidden="false" customHeight="true" outlineLevel="0" collapsed="false">
      <c r="A13" s="15" t="s">
        <v>93</v>
      </c>
      <c r="B13" s="15" t="s">
        <v>277</v>
      </c>
      <c r="C13" s="15" t="s">
        <v>275</v>
      </c>
      <c r="D13" s="16" t="s">
        <v>95</v>
      </c>
      <c r="E13" s="16" t="s">
        <v>129</v>
      </c>
    </row>
    <row r="14" customFormat="false" ht="17.25" hidden="false" customHeight="true" outlineLevel="0" collapsed="false">
      <c r="A14" s="12" t="s">
        <v>93</v>
      </c>
      <c r="B14" s="12" t="s">
        <v>633</v>
      </c>
      <c r="C14" s="12" t="s">
        <v>270</v>
      </c>
      <c r="D14" s="13" t="s">
        <v>95</v>
      </c>
      <c r="E14" s="13" t="s">
        <v>129</v>
      </c>
    </row>
    <row r="15" customFormat="false" ht="17.25" hidden="false" customHeight="true" outlineLevel="0" collapsed="false">
      <c r="A15" s="15" t="s">
        <v>81</v>
      </c>
      <c r="B15" s="15" t="s">
        <v>634</v>
      </c>
      <c r="C15" s="15" t="s">
        <v>182</v>
      </c>
      <c r="D15" s="16" t="s">
        <v>83</v>
      </c>
      <c r="E15" s="16" t="s">
        <v>129</v>
      </c>
    </row>
    <row r="16" customFormat="false" ht="17.25" hidden="false" customHeight="true" outlineLevel="0" collapsed="false">
      <c r="A16" s="12" t="s">
        <v>81</v>
      </c>
      <c r="B16" s="12" t="s">
        <v>635</v>
      </c>
      <c r="C16" s="12" t="s">
        <v>182</v>
      </c>
      <c r="D16" s="13" t="s">
        <v>83</v>
      </c>
      <c r="E16" s="13" t="s">
        <v>129</v>
      </c>
    </row>
    <row r="17" customFormat="false" ht="17.25" hidden="false" customHeight="true" outlineLevel="0" collapsed="false">
      <c r="A17" s="15" t="s">
        <v>81</v>
      </c>
      <c r="B17" s="15" t="s">
        <v>195</v>
      </c>
      <c r="C17" s="15" t="s">
        <v>193</v>
      </c>
      <c r="D17" s="16" t="s">
        <v>83</v>
      </c>
      <c r="E17" s="16" t="s">
        <v>129</v>
      </c>
    </row>
    <row r="18" customFormat="false" ht="17.25" hidden="false" customHeight="true" outlineLevel="0" collapsed="false">
      <c r="A18" s="12" t="s">
        <v>81</v>
      </c>
      <c r="B18" s="12" t="s">
        <v>179</v>
      </c>
      <c r="C18" s="12" t="s">
        <v>177</v>
      </c>
      <c r="D18" s="13" t="s">
        <v>83</v>
      </c>
      <c r="E18" s="13" t="s">
        <v>129</v>
      </c>
    </row>
    <row r="19" customFormat="false" ht="17.25" hidden="false" customHeight="true" outlineLevel="0" collapsed="false">
      <c r="A19" s="15" t="s">
        <v>81</v>
      </c>
      <c r="B19" s="15" t="s">
        <v>636</v>
      </c>
      <c r="C19" s="15" t="s">
        <v>167</v>
      </c>
      <c r="D19" s="16" t="s">
        <v>83</v>
      </c>
      <c r="E19" s="16" t="s">
        <v>129</v>
      </c>
    </row>
    <row r="20" customFormat="false" ht="17.25" hidden="false" customHeight="true" outlineLevel="0" collapsed="false">
      <c r="A20" s="12" t="s">
        <v>81</v>
      </c>
      <c r="B20" s="12" t="s">
        <v>637</v>
      </c>
      <c r="C20" s="12" t="s">
        <v>167</v>
      </c>
      <c r="D20" s="13" t="s">
        <v>83</v>
      </c>
      <c r="E20" s="13" t="s">
        <v>129</v>
      </c>
    </row>
    <row r="21" customFormat="false" ht="17.25" hidden="false" customHeight="true" outlineLevel="0" collapsed="false">
      <c r="A21" s="15" t="s">
        <v>77</v>
      </c>
      <c r="B21" s="15" t="s">
        <v>159</v>
      </c>
      <c r="C21" s="15" t="s">
        <v>157</v>
      </c>
      <c r="D21" s="16" t="s">
        <v>79</v>
      </c>
      <c r="E21" s="16" t="s">
        <v>129</v>
      </c>
    </row>
    <row r="22" customFormat="false" ht="17.25" hidden="false" customHeight="true" outlineLevel="0" collapsed="false">
      <c r="A22" s="12" t="s">
        <v>77</v>
      </c>
      <c r="B22" s="12" t="s">
        <v>141</v>
      </c>
      <c r="C22" s="12" t="s">
        <v>139</v>
      </c>
      <c r="D22" s="13" t="s">
        <v>79</v>
      </c>
      <c r="E22" s="13" t="s">
        <v>129</v>
      </c>
    </row>
    <row r="23" customFormat="false" ht="17.25" hidden="false" customHeight="true" outlineLevel="0" collapsed="false">
      <c r="A23" s="15" t="s">
        <v>77</v>
      </c>
      <c r="B23" s="15" t="s">
        <v>638</v>
      </c>
      <c r="C23" s="15" t="s">
        <v>128</v>
      </c>
      <c r="D23" s="16" t="s">
        <v>79</v>
      </c>
      <c r="E23" s="16" t="s">
        <v>129</v>
      </c>
    </row>
    <row r="24" customFormat="false" ht="17.25" hidden="false" customHeight="true" outlineLevel="0" collapsed="false">
      <c r="A24" s="12" t="s">
        <v>77</v>
      </c>
      <c r="B24" s="12" t="s">
        <v>148</v>
      </c>
      <c r="C24" s="12" t="s">
        <v>146</v>
      </c>
      <c r="D24" s="13" t="s">
        <v>79</v>
      </c>
      <c r="E24" s="13" t="s">
        <v>129</v>
      </c>
    </row>
    <row r="25" customFormat="false" ht="17.25" hidden="false" customHeight="true" outlineLevel="0" collapsed="false">
      <c r="A25" s="15" t="s">
        <v>77</v>
      </c>
      <c r="B25" s="15" t="s">
        <v>164</v>
      </c>
      <c r="C25" s="15" t="s">
        <v>162</v>
      </c>
      <c r="D25" s="16" t="s">
        <v>79</v>
      </c>
      <c r="E25" s="16" t="s">
        <v>129</v>
      </c>
    </row>
    <row r="26" customFormat="false" ht="17.25" hidden="false" customHeight="true" outlineLevel="0" collapsed="false">
      <c r="A26" s="12" t="s">
        <v>77</v>
      </c>
      <c r="B26" s="12" t="s">
        <v>639</v>
      </c>
      <c r="C26" s="12" t="s">
        <v>128</v>
      </c>
      <c r="D26" s="13" t="s">
        <v>79</v>
      </c>
      <c r="E26" s="13" t="s">
        <v>129</v>
      </c>
    </row>
    <row r="27" customFormat="false" ht="17.25" hidden="false" customHeight="true" outlineLevel="0" collapsed="false">
      <c r="A27" s="15" t="s">
        <v>199</v>
      </c>
      <c r="B27" s="15" t="s">
        <v>201</v>
      </c>
      <c r="C27" s="15" t="s">
        <v>198</v>
      </c>
      <c r="D27" s="16" t="s">
        <v>87</v>
      </c>
      <c r="E27" s="16" t="s">
        <v>129</v>
      </c>
    </row>
    <row r="28" customFormat="false" ht="17.25" hidden="false" customHeight="true" outlineLevel="0" collapsed="false">
      <c r="A28" s="12" t="s">
        <v>89</v>
      </c>
      <c r="B28" s="12" t="s">
        <v>237</v>
      </c>
      <c r="C28" s="12" t="s">
        <v>235</v>
      </c>
      <c r="D28" s="13" t="s">
        <v>91</v>
      </c>
      <c r="E28" s="13" t="s">
        <v>129</v>
      </c>
    </row>
    <row r="29" customFormat="false" ht="17.25" hidden="false" customHeight="true" outlineLevel="0" collapsed="false">
      <c r="A29" s="15" t="s">
        <v>89</v>
      </c>
      <c r="B29" s="15" t="s">
        <v>640</v>
      </c>
      <c r="C29" s="15" t="s">
        <v>230</v>
      </c>
      <c r="D29" s="16" t="s">
        <v>91</v>
      </c>
      <c r="E29" s="16" t="s">
        <v>129</v>
      </c>
    </row>
    <row r="30" customFormat="false" ht="17.25" hidden="false" customHeight="true" outlineLevel="0" collapsed="false">
      <c r="A30" s="12" t="s">
        <v>89</v>
      </c>
      <c r="B30" s="12" t="s">
        <v>641</v>
      </c>
      <c r="C30" s="12" t="s">
        <v>230</v>
      </c>
      <c r="D30" s="13" t="s">
        <v>91</v>
      </c>
      <c r="E30" s="13" t="s">
        <v>129</v>
      </c>
    </row>
    <row r="31" customFormat="false" ht="17.25" hidden="false" customHeight="true" outlineLevel="0" collapsed="false">
      <c r="A31" s="15" t="s">
        <v>285</v>
      </c>
      <c r="B31" s="15" t="s">
        <v>299</v>
      </c>
      <c r="C31" s="15" t="s">
        <v>297</v>
      </c>
      <c r="D31" s="16" t="s">
        <v>91</v>
      </c>
      <c r="E31" s="16" t="s">
        <v>129</v>
      </c>
    </row>
    <row r="32" customFormat="false" ht="17.25" hidden="false" customHeight="true" outlineLevel="0" collapsed="false">
      <c r="A32" s="12" t="s">
        <v>285</v>
      </c>
      <c r="B32" s="12" t="s">
        <v>293</v>
      </c>
      <c r="C32" s="12" t="s">
        <v>291</v>
      </c>
      <c r="D32" s="13" t="s">
        <v>91</v>
      </c>
      <c r="E32" s="13" t="s">
        <v>129</v>
      </c>
    </row>
    <row r="33" customFormat="false" ht="17.25" hidden="false" customHeight="true" outlineLevel="0" collapsed="false">
      <c r="A33" s="15" t="s">
        <v>285</v>
      </c>
      <c r="B33" s="15" t="s">
        <v>287</v>
      </c>
      <c r="C33" s="15" t="s">
        <v>284</v>
      </c>
      <c r="D33" s="16" t="s">
        <v>91</v>
      </c>
      <c r="E33" s="16" t="s">
        <v>129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F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32"/>
    <col collapsed="false" customWidth="true" hidden="false" outlineLevel="0" max="4" min="4" style="0" width="46"/>
    <col collapsed="false" customWidth="true" hidden="false" outlineLevel="0" max="5" min="5" style="0" width="13"/>
    <col collapsed="false" customWidth="true" hidden="false" outlineLevel="0" max="6" min="6" style="0" width="16"/>
  </cols>
  <sheetData>
    <row r="1" customFormat="false" ht="30" hidden="false" customHeight="true" outlineLevel="0" collapsed="false">
      <c r="A1" s="10" t="s">
        <v>642</v>
      </c>
      <c r="B1" s="10" t="s">
        <v>643</v>
      </c>
      <c r="C1" s="10" t="s">
        <v>644</v>
      </c>
      <c r="D1" s="10" t="s">
        <v>645</v>
      </c>
      <c r="E1" s="10" t="s">
        <v>646</v>
      </c>
      <c r="F1" s="10" t="s">
        <v>647</v>
      </c>
    </row>
    <row r="2" customFormat="false" ht="28.5" hidden="false" customHeight="true" outlineLevel="0" collapsed="false">
      <c r="A2" s="11" t="s">
        <v>648</v>
      </c>
      <c r="B2" s="12" t="s">
        <v>649</v>
      </c>
      <c r="C2" s="12" t="s">
        <v>650</v>
      </c>
      <c r="D2" s="12" t="s">
        <v>651</v>
      </c>
      <c r="E2" s="13" t="s">
        <v>451</v>
      </c>
      <c r="F2" s="12" t="s">
        <v>652</v>
      </c>
    </row>
    <row r="3" customFormat="false" ht="28.5" hidden="false" customHeight="true" outlineLevel="0" collapsed="false">
      <c r="A3" s="14" t="s">
        <v>653</v>
      </c>
      <c r="B3" s="15" t="s">
        <v>654</v>
      </c>
      <c r="C3" s="15" t="s">
        <v>655</v>
      </c>
      <c r="D3" s="15" t="s">
        <v>656</v>
      </c>
      <c r="E3" s="16" t="s">
        <v>451</v>
      </c>
      <c r="F3" s="15" t="s">
        <v>657</v>
      </c>
    </row>
    <row r="4" customFormat="false" ht="28.5" hidden="false" customHeight="true" outlineLevel="0" collapsed="false">
      <c r="A4" s="11" t="s">
        <v>658</v>
      </c>
      <c r="B4" s="12" t="s">
        <v>199</v>
      </c>
      <c r="C4" s="12" t="s">
        <v>659</v>
      </c>
      <c r="D4" s="12" t="s">
        <v>660</v>
      </c>
      <c r="E4" s="13" t="s">
        <v>661</v>
      </c>
      <c r="F4" s="12" t="s">
        <v>492</v>
      </c>
    </row>
    <row r="5" customFormat="false" ht="28.5" hidden="false" customHeight="true" outlineLevel="0" collapsed="false">
      <c r="A5" s="14" t="s">
        <v>662</v>
      </c>
      <c r="B5" s="15" t="s">
        <v>199</v>
      </c>
      <c r="C5" s="15" t="s">
        <v>663</v>
      </c>
      <c r="D5" s="15" t="s">
        <v>664</v>
      </c>
      <c r="E5" s="16" t="s">
        <v>661</v>
      </c>
      <c r="F5" s="15" t="s">
        <v>476</v>
      </c>
    </row>
    <row r="6" customFormat="false" ht="28.5" hidden="false" customHeight="true" outlineLevel="0" collapsed="false">
      <c r="A6" s="33" t="s">
        <v>185</v>
      </c>
      <c r="B6" s="34" t="s">
        <v>81</v>
      </c>
      <c r="C6" s="34" t="s">
        <v>665</v>
      </c>
      <c r="D6" s="34" t="s">
        <v>666</v>
      </c>
      <c r="E6" s="20" t="s">
        <v>667</v>
      </c>
      <c r="F6" s="34" t="s">
        <v>182</v>
      </c>
    </row>
    <row r="7" customFormat="false" ht="28.5" hidden="false" customHeight="true" outlineLevel="0" collapsed="false">
      <c r="A7" s="33" t="s">
        <v>212</v>
      </c>
      <c r="B7" s="34" t="s">
        <v>85</v>
      </c>
      <c r="C7" s="34" t="s">
        <v>668</v>
      </c>
      <c r="D7" s="34" t="s">
        <v>669</v>
      </c>
      <c r="E7" s="20" t="s">
        <v>667</v>
      </c>
      <c r="F7" s="34" t="s">
        <v>209</v>
      </c>
    </row>
    <row r="8" customFormat="false" ht="28.5" hidden="false" customHeight="true" outlineLevel="0" collapsed="false">
      <c r="A8" s="33" t="s">
        <v>261</v>
      </c>
      <c r="B8" s="34" t="s">
        <v>93</v>
      </c>
      <c r="C8" s="34" t="s">
        <v>670</v>
      </c>
      <c r="D8" s="34" t="s">
        <v>671</v>
      </c>
      <c r="E8" s="20" t="s">
        <v>667</v>
      </c>
      <c r="F8" s="34" t="s">
        <v>258</v>
      </c>
    </row>
    <row r="9" customFormat="false" ht="28.5" hidden="false" customHeight="true" outlineLevel="0" collapsed="false">
      <c r="A9" s="33" t="s">
        <v>238</v>
      </c>
      <c r="B9" s="34" t="s">
        <v>89</v>
      </c>
      <c r="C9" s="34" t="s">
        <v>672</v>
      </c>
      <c r="D9" s="34" t="s">
        <v>673</v>
      </c>
      <c r="E9" s="20" t="s">
        <v>667</v>
      </c>
      <c r="F9" s="34" t="s">
        <v>235</v>
      </c>
    </row>
    <row r="10" customFormat="false" ht="28.5" hidden="false" customHeight="true" outlineLevel="0" collapsed="false">
      <c r="A10" s="11" t="s">
        <v>674</v>
      </c>
      <c r="B10" s="12" t="s">
        <v>502</v>
      </c>
      <c r="C10" s="12" t="s">
        <v>675</v>
      </c>
      <c r="D10" s="12" t="s">
        <v>676</v>
      </c>
      <c r="E10" s="13" t="s">
        <v>661</v>
      </c>
      <c r="F10" s="12" t="s">
        <v>677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F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1"/>
    <col collapsed="false" customWidth="true" hidden="false" outlineLevel="0" max="4" min="4" style="0" width="46"/>
    <col collapsed="false" customWidth="true" hidden="false" outlineLevel="0" max="5" min="5" style="0" width="52"/>
    <col collapsed="false" customWidth="true" hidden="false" outlineLevel="0" max="6" min="6" style="0" width="22"/>
  </cols>
  <sheetData>
    <row r="1" customFormat="false" ht="30" hidden="false" customHeight="true" outlineLevel="0" collapsed="false">
      <c r="A1" s="10" t="s">
        <v>678</v>
      </c>
      <c r="B1" s="10" t="s">
        <v>679</v>
      </c>
      <c r="C1" s="10" t="s">
        <v>680</v>
      </c>
      <c r="D1" s="10" t="s">
        <v>681</v>
      </c>
      <c r="E1" s="10" t="s">
        <v>682</v>
      </c>
      <c r="F1" s="10" t="s">
        <v>683</v>
      </c>
    </row>
    <row r="2" customFormat="false" ht="40.5" hidden="false" customHeight="true" outlineLevel="0" collapsed="false">
      <c r="A2" s="35" t="n">
        <v>1</v>
      </c>
      <c r="B2" s="12" t="s">
        <v>684</v>
      </c>
      <c r="C2" s="17" t="s">
        <v>685</v>
      </c>
      <c r="D2" s="12" t="s">
        <v>686</v>
      </c>
      <c r="E2" s="12" t="s">
        <v>687</v>
      </c>
      <c r="F2" s="12" t="s">
        <v>688</v>
      </c>
    </row>
    <row r="3" customFormat="false" ht="40.5" hidden="false" customHeight="true" outlineLevel="0" collapsed="false">
      <c r="A3" s="36" t="n">
        <v>2</v>
      </c>
      <c r="B3" s="15" t="s">
        <v>689</v>
      </c>
      <c r="C3" s="17" t="s">
        <v>685</v>
      </c>
      <c r="D3" s="15" t="s">
        <v>690</v>
      </c>
      <c r="E3" s="15" t="s">
        <v>691</v>
      </c>
      <c r="F3" s="15" t="s">
        <v>692</v>
      </c>
    </row>
    <row r="4" customFormat="false" ht="40.5" hidden="false" customHeight="true" outlineLevel="0" collapsed="false">
      <c r="A4" s="35" t="n">
        <v>3</v>
      </c>
      <c r="B4" s="12" t="s">
        <v>693</v>
      </c>
      <c r="C4" s="19" t="s">
        <v>176</v>
      </c>
      <c r="D4" s="12" t="s">
        <v>694</v>
      </c>
      <c r="E4" s="12" t="s">
        <v>695</v>
      </c>
      <c r="F4" s="12" t="s">
        <v>696</v>
      </c>
    </row>
    <row r="5" customFormat="false" ht="28.5" hidden="false" customHeight="true" outlineLevel="0" collapsed="false">
      <c r="A5" s="36" t="n">
        <v>6</v>
      </c>
      <c r="B5" s="15" t="s">
        <v>697</v>
      </c>
      <c r="C5" s="19" t="s">
        <v>176</v>
      </c>
      <c r="D5" s="15" t="s">
        <v>698</v>
      </c>
      <c r="E5" s="15" t="s">
        <v>699</v>
      </c>
      <c r="F5" s="15" t="s">
        <v>592</v>
      </c>
    </row>
    <row r="6" customFormat="false" ht="40.5" hidden="false" customHeight="true" outlineLevel="0" collapsed="false">
      <c r="A6" s="35" t="n">
        <v>7</v>
      </c>
      <c r="B6" s="12" t="s">
        <v>700</v>
      </c>
      <c r="C6" s="18" t="s">
        <v>156</v>
      </c>
      <c r="D6" s="12" t="s">
        <v>701</v>
      </c>
      <c r="E6" s="12" t="s">
        <v>702</v>
      </c>
      <c r="F6" s="12" t="s">
        <v>703</v>
      </c>
    </row>
    <row r="7" customFormat="false" ht="28.5" hidden="false" customHeight="true" outlineLevel="0" collapsed="false">
      <c r="A7" s="36" t="n">
        <v>8</v>
      </c>
      <c r="B7" s="15" t="s">
        <v>704</v>
      </c>
      <c r="C7" s="18" t="s">
        <v>156</v>
      </c>
      <c r="D7" s="15" t="s">
        <v>705</v>
      </c>
      <c r="E7" s="15" t="s">
        <v>706</v>
      </c>
      <c r="F7" s="15" t="s">
        <v>707</v>
      </c>
    </row>
    <row r="8" customFormat="false" ht="28.5" hidden="false" customHeight="true" outlineLevel="0" collapsed="false">
      <c r="A8" s="35" t="n">
        <v>10</v>
      </c>
      <c r="B8" s="12" t="s">
        <v>708</v>
      </c>
      <c r="C8" s="19" t="s">
        <v>176</v>
      </c>
      <c r="D8" s="12" t="s">
        <v>709</v>
      </c>
      <c r="E8" s="12" t="s">
        <v>710</v>
      </c>
      <c r="F8" s="12" t="s">
        <v>242</v>
      </c>
    </row>
    <row r="9" customFormat="false" ht="40.5" hidden="false" customHeight="true" outlineLevel="0" collapsed="false">
      <c r="A9" s="36" t="n">
        <v>12</v>
      </c>
      <c r="B9" s="15" t="s">
        <v>711</v>
      </c>
      <c r="C9" s="19" t="s">
        <v>176</v>
      </c>
      <c r="D9" s="15" t="s">
        <v>712</v>
      </c>
      <c r="E9" s="15" t="s">
        <v>713</v>
      </c>
      <c r="F9" s="15" t="s">
        <v>714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N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60"/>
    <col collapsed="false" customWidth="true" hidden="false" outlineLevel="0" max="14" min="6" style="0" width="18"/>
  </cols>
  <sheetData>
    <row r="1" customFormat="false" ht="25.5" hidden="false" customHeight="true" outlineLevel="0" collapsed="false">
      <c r="A1" s="10" t="s">
        <v>715</v>
      </c>
      <c r="B1" s="10" t="s">
        <v>716</v>
      </c>
      <c r="C1" s="10" t="s">
        <v>717</v>
      </c>
      <c r="D1" s="10" t="s">
        <v>718</v>
      </c>
      <c r="E1" s="10" t="s">
        <v>719</v>
      </c>
      <c r="F1" s="10" t="s">
        <v>720</v>
      </c>
      <c r="G1" s="10" t="s">
        <v>125</v>
      </c>
      <c r="H1" s="10" t="s">
        <v>721</v>
      </c>
      <c r="I1" s="10" t="s">
        <v>722</v>
      </c>
      <c r="J1" s="10" t="s">
        <v>723</v>
      </c>
      <c r="K1" s="10" t="s">
        <v>120</v>
      </c>
      <c r="L1" s="10" t="s">
        <v>724</v>
      </c>
      <c r="M1" s="10" t="s">
        <v>725</v>
      </c>
      <c r="N1" s="10" t="s">
        <v>726</v>
      </c>
    </row>
    <row r="2" customFormat="false" ht="12.75" hidden="false" customHeight="true" outlineLevel="0" collapsed="false">
      <c r="A2" s="37" t="n">
        <v>1</v>
      </c>
      <c r="B2" s="37" t="s">
        <v>76</v>
      </c>
      <c r="C2" s="37" t="s">
        <v>119</v>
      </c>
      <c r="D2" s="37" t="s">
        <v>727</v>
      </c>
      <c r="E2" s="38" t="s">
        <v>728</v>
      </c>
      <c r="F2" s="37" t="s">
        <v>729</v>
      </c>
      <c r="G2" s="37" t="s">
        <v>176</v>
      </c>
      <c r="H2" s="37"/>
      <c r="I2" s="37" t="s">
        <v>76</v>
      </c>
      <c r="J2" s="37"/>
      <c r="K2" s="37"/>
      <c r="L2" s="37" t="s">
        <v>478</v>
      </c>
      <c r="M2" s="37" t="s">
        <v>730</v>
      </c>
      <c r="N2" s="37"/>
    </row>
    <row r="3" customFormat="false" ht="12.75" hidden="false" customHeight="true" outlineLevel="0" collapsed="false">
      <c r="A3" s="37" t="n">
        <v>2</v>
      </c>
      <c r="B3" s="37" t="s">
        <v>80</v>
      </c>
      <c r="C3" s="37" t="s">
        <v>119</v>
      </c>
      <c r="D3" s="37" t="s">
        <v>731</v>
      </c>
      <c r="E3" s="38" t="s">
        <v>732</v>
      </c>
      <c r="F3" s="37" t="s">
        <v>729</v>
      </c>
      <c r="G3" s="37" t="s">
        <v>176</v>
      </c>
      <c r="H3" s="37"/>
      <c r="I3" s="37" t="s">
        <v>80</v>
      </c>
      <c r="J3" s="37"/>
      <c r="K3" s="37"/>
      <c r="L3" s="37" t="s">
        <v>478</v>
      </c>
      <c r="M3" s="37" t="s">
        <v>730</v>
      </c>
      <c r="N3" s="37"/>
    </row>
    <row r="4" customFormat="false" ht="12.75" hidden="false" customHeight="true" outlineLevel="0" collapsed="false">
      <c r="A4" s="37" t="n">
        <v>3</v>
      </c>
      <c r="B4" s="37" t="s">
        <v>84</v>
      </c>
      <c r="C4" s="37" t="s">
        <v>119</v>
      </c>
      <c r="D4" s="37" t="s">
        <v>733</v>
      </c>
      <c r="E4" s="38" t="s">
        <v>734</v>
      </c>
      <c r="F4" s="37" t="s">
        <v>729</v>
      </c>
      <c r="G4" s="37" t="s">
        <v>176</v>
      </c>
      <c r="H4" s="37"/>
      <c r="I4" s="37" t="s">
        <v>84</v>
      </c>
      <c r="J4" s="37"/>
      <c r="K4" s="37"/>
      <c r="L4" s="37" t="s">
        <v>478</v>
      </c>
      <c r="M4" s="37" t="s">
        <v>730</v>
      </c>
      <c r="N4" s="37"/>
    </row>
    <row r="5" customFormat="false" ht="12.75" hidden="false" customHeight="true" outlineLevel="0" collapsed="false">
      <c r="A5" s="37" t="n">
        <v>4</v>
      </c>
      <c r="B5" s="37" t="s">
        <v>88</v>
      </c>
      <c r="C5" s="37" t="s">
        <v>119</v>
      </c>
      <c r="D5" s="37" t="s">
        <v>735</v>
      </c>
      <c r="E5" s="38" t="s">
        <v>736</v>
      </c>
      <c r="F5" s="37" t="s">
        <v>729</v>
      </c>
      <c r="G5" s="37" t="s">
        <v>176</v>
      </c>
      <c r="H5" s="37"/>
      <c r="I5" s="37" t="s">
        <v>88</v>
      </c>
      <c r="J5" s="37"/>
      <c r="K5" s="37"/>
      <c r="L5" s="37" t="s">
        <v>478</v>
      </c>
      <c r="M5" s="37" t="s">
        <v>730</v>
      </c>
      <c r="N5" s="37"/>
    </row>
    <row r="6" customFormat="false" ht="12.75" hidden="false" customHeight="true" outlineLevel="0" collapsed="false">
      <c r="A6" s="37" t="n">
        <v>5</v>
      </c>
      <c r="B6" s="37" t="s">
        <v>92</v>
      </c>
      <c r="C6" s="37" t="s">
        <v>119</v>
      </c>
      <c r="D6" s="37" t="s">
        <v>737</v>
      </c>
      <c r="E6" s="38" t="s">
        <v>738</v>
      </c>
      <c r="F6" s="37" t="s">
        <v>729</v>
      </c>
      <c r="G6" s="37" t="s">
        <v>176</v>
      </c>
      <c r="H6" s="37"/>
      <c r="I6" s="37" t="s">
        <v>92</v>
      </c>
      <c r="J6" s="37"/>
      <c r="K6" s="37"/>
      <c r="L6" s="37" t="s">
        <v>478</v>
      </c>
      <c r="M6" s="37" t="s">
        <v>730</v>
      </c>
      <c r="N6" s="37"/>
    </row>
    <row r="7" customFormat="false" ht="12.75" hidden="false" customHeight="true" outlineLevel="0" collapsed="false">
      <c r="A7" s="37" t="n">
        <v>6</v>
      </c>
      <c r="B7" s="37" t="s">
        <v>96</v>
      </c>
      <c r="C7" s="37" t="s">
        <v>119</v>
      </c>
      <c r="D7" s="37" t="s">
        <v>739</v>
      </c>
      <c r="E7" s="38" t="s">
        <v>740</v>
      </c>
      <c r="F7" s="37" t="s">
        <v>729</v>
      </c>
      <c r="G7" s="37" t="s">
        <v>176</v>
      </c>
      <c r="H7" s="37"/>
      <c r="I7" s="37" t="s">
        <v>96</v>
      </c>
      <c r="J7" s="37"/>
      <c r="K7" s="37"/>
      <c r="L7" s="37" t="s">
        <v>478</v>
      </c>
      <c r="M7" s="37" t="s">
        <v>730</v>
      </c>
      <c r="N7" s="37"/>
    </row>
    <row r="8" customFormat="false" ht="12.75" hidden="false" customHeight="true" outlineLevel="0" collapsed="false">
      <c r="A8" s="37" t="n">
        <v>7</v>
      </c>
      <c r="B8" s="37" t="s">
        <v>99</v>
      </c>
      <c r="C8" s="37" t="s">
        <v>119</v>
      </c>
      <c r="D8" s="37" t="s">
        <v>741</v>
      </c>
      <c r="E8" s="38" t="s">
        <v>742</v>
      </c>
      <c r="F8" s="37" t="s">
        <v>729</v>
      </c>
      <c r="G8" s="37" t="s">
        <v>176</v>
      </c>
      <c r="H8" s="37"/>
      <c r="I8" s="37" t="s">
        <v>99</v>
      </c>
      <c r="J8" s="37"/>
      <c r="K8" s="37"/>
      <c r="L8" s="37" t="s">
        <v>478</v>
      </c>
      <c r="M8" s="37" t="s">
        <v>730</v>
      </c>
      <c r="N8" s="37"/>
    </row>
    <row r="9" customFormat="false" ht="12.75" hidden="false" customHeight="true" outlineLevel="0" collapsed="false">
      <c r="A9" s="37" t="n">
        <v>8</v>
      </c>
      <c r="B9" s="37" t="s">
        <v>103</v>
      </c>
      <c r="C9" s="37" t="s">
        <v>119</v>
      </c>
      <c r="D9" s="37" t="s">
        <v>743</v>
      </c>
      <c r="E9" s="38" t="s">
        <v>744</v>
      </c>
      <c r="F9" s="37" t="s">
        <v>729</v>
      </c>
      <c r="G9" s="37" t="s">
        <v>176</v>
      </c>
      <c r="H9" s="37"/>
      <c r="I9" s="37" t="s">
        <v>103</v>
      </c>
      <c r="J9" s="37"/>
      <c r="K9" s="37"/>
      <c r="L9" s="37" t="s">
        <v>478</v>
      </c>
      <c r="M9" s="37" t="s">
        <v>730</v>
      </c>
      <c r="N9" s="37"/>
    </row>
    <row r="10" customFormat="false" ht="12.75" hidden="false" customHeight="true" outlineLevel="0" collapsed="false">
      <c r="A10" s="37" t="n">
        <v>9</v>
      </c>
      <c r="B10" s="37" t="s">
        <v>107</v>
      </c>
      <c r="C10" s="37" t="s">
        <v>119</v>
      </c>
      <c r="D10" s="37" t="s">
        <v>745</v>
      </c>
      <c r="E10" s="38" t="s">
        <v>746</v>
      </c>
      <c r="F10" s="37" t="s">
        <v>729</v>
      </c>
      <c r="G10" s="37" t="s">
        <v>176</v>
      </c>
      <c r="H10" s="37"/>
      <c r="I10" s="37" t="s">
        <v>107</v>
      </c>
      <c r="J10" s="37"/>
      <c r="K10" s="37"/>
      <c r="L10" s="37" t="s">
        <v>478</v>
      </c>
      <c r="M10" s="37" t="s">
        <v>730</v>
      </c>
      <c r="N10" s="37"/>
    </row>
    <row r="11" customFormat="false" ht="12.75" hidden="false" customHeight="true" outlineLevel="0" collapsed="false">
      <c r="A11" s="37" t="n">
        <v>10</v>
      </c>
      <c r="B11" s="37" t="s">
        <v>111</v>
      </c>
      <c r="C11" s="37" t="s">
        <v>119</v>
      </c>
      <c r="D11" s="37" t="s">
        <v>747</v>
      </c>
      <c r="E11" s="38" t="s">
        <v>748</v>
      </c>
      <c r="F11" s="37" t="s">
        <v>729</v>
      </c>
      <c r="G11" s="37" t="s">
        <v>176</v>
      </c>
      <c r="H11" s="37"/>
      <c r="I11" s="37" t="s">
        <v>111</v>
      </c>
      <c r="J11" s="37"/>
      <c r="K11" s="37"/>
      <c r="L11" s="37" t="s">
        <v>478</v>
      </c>
      <c r="M11" s="37" t="s">
        <v>730</v>
      </c>
      <c r="N11" s="37"/>
    </row>
    <row r="12" customFormat="false" ht="12.75" hidden="false" customHeight="true" outlineLevel="0" collapsed="false">
      <c r="A12" s="37" t="n">
        <v>11</v>
      </c>
      <c r="B12" s="37" t="s">
        <v>128</v>
      </c>
      <c r="C12" s="37" t="s">
        <v>749</v>
      </c>
      <c r="D12" s="37" t="s">
        <v>750</v>
      </c>
      <c r="E12" s="38" t="s">
        <v>751</v>
      </c>
      <c r="F12" s="37" t="s">
        <v>77</v>
      </c>
      <c r="G12" s="37" t="s">
        <v>136</v>
      </c>
      <c r="H12" s="37" t="n">
        <v>8</v>
      </c>
      <c r="I12" s="37"/>
      <c r="J12" s="37" t="s">
        <v>76</v>
      </c>
      <c r="K12" s="37" t="s">
        <v>79</v>
      </c>
      <c r="L12" s="37" t="s">
        <v>478</v>
      </c>
      <c r="M12" s="37" t="s">
        <v>752</v>
      </c>
      <c r="N12" s="37"/>
    </row>
    <row r="13" customFormat="false" ht="12.75" hidden="false" customHeight="true" outlineLevel="0" collapsed="false">
      <c r="A13" s="37" t="n">
        <v>12</v>
      </c>
      <c r="B13" s="37" t="s">
        <v>139</v>
      </c>
      <c r="C13" s="37" t="s">
        <v>749</v>
      </c>
      <c r="D13" s="37" t="s">
        <v>753</v>
      </c>
      <c r="E13" s="38" t="s">
        <v>754</v>
      </c>
      <c r="F13" s="37" t="s">
        <v>77</v>
      </c>
      <c r="G13" s="37" t="s">
        <v>136</v>
      </c>
      <c r="H13" s="37" t="n">
        <v>8</v>
      </c>
      <c r="I13" s="37"/>
      <c r="J13" s="37" t="s">
        <v>76</v>
      </c>
      <c r="K13" s="37" t="s">
        <v>79</v>
      </c>
      <c r="L13" s="37" t="s">
        <v>478</v>
      </c>
      <c r="M13" s="37" t="s">
        <v>752</v>
      </c>
      <c r="N13" s="37" t="s">
        <v>755</v>
      </c>
    </row>
    <row r="14" customFormat="false" ht="12.75" hidden="false" customHeight="true" outlineLevel="0" collapsed="false">
      <c r="A14" s="37" t="n">
        <v>13</v>
      </c>
      <c r="B14" s="37" t="s">
        <v>146</v>
      </c>
      <c r="C14" s="37" t="s">
        <v>749</v>
      </c>
      <c r="D14" s="37" t="s">
        <v>756</v>
      </c>
      <c r="E14" s="38" t="s">
        <v>757</v>
      </c>
      <c r="F14" s="37" t="s">
        <v>77</v>
      </c>
      <c r="G14" s="37" t="s">
        <v>136</v>
      </c>
      <c r="H14" s="37" t="n">
        <v>5</v>
      </c>
      <c r="I14" s="37"/>
      <c r="J14" s="37" t="s">
        <v>76</v>
      </c>
      <c r="K14" s="37" t="s">
        <v>79</v>
      </c>
      <c r="L14" s="37" t="s">
        <v>478</v>
      </c>
      <c r="M14" s="37" t="s">
        <v>752</v>
      </c>
      <c r="N14" s="37" t="s">
        <v>755</v>
      </c>
    </row>
    <row r="15" customFormat="false" ht="12.75" hidden="false" customHeight="true" outlineLevel="0" collapsed="false">
      <c r="A15" s="37" t="n">
        <v>14</v>
      </c>
      <c r="B15" s="37" t="s">
        <v>152</v>
      </c>
      <c r="C15" s="37" t="s">
        <v>749</v>
      </c>
      <c r="D15" s="37" t="s">
        <v>758</v>
      </c>
      <c r="E15" s="38" t="s">
        <v>759</v>
      </c>
      <c r="F15" s="37" t="s">
        <v>77</v>
      </c>
      <c r="G15" s="37" t="s">
        <v>156</v>
      </c>
      <c r="H15" s="37" t="n">
        <v>3</v>
      </c>
      <c r="I15" s="37"/>
      <c r="J15" s="37" t="s">
        <v>76</v>
      </c>
      <c r="K15" s="37" t="s">
        <v>79</v>
      </c>
      <c r="L15" s="37" t="s">
        <v>478</v>
      </c>
      <c r="M15" s="37" t="s">
        <v>752</v>
      </c>
      <c r="N15" s="37" t="s">
        <v>755</v>
      </c>
    </row>
    <row r="16" customFormat="false" ht="12.75" hidden="false" customHeight="true" outlineLevel="0" collapsed="false">
      <c r="A16" s="37" t="n">
        <v>15</v>
      </c>
      <c r="B16" s="37" t="s">
        <v>157</v>
      </c>
      <c r="C16" s="37" t="s">
        <v>749</v>
      </c>
      <c r="D16" s="37" t="s">
        <v>760</v>
      </c>
      <c r="E16" s="38" t="s">
        <v>761</v>
      </c>
      <c r="F16" s="37" t="s">
        <v>77</v>
      </c>
      <c r="G16" s="37" t="s">
        <v>156</v>
      </c>
      <c r="H16" s="37" t="n">
        <v>5</v>
      </c>
      <c r="I16" s="37"/>
      <c r="J16" s="37" t="s">
        <v>76</v>
      </c>
      <c r="K16" s="37" t="s">
        <v>79</v>
      </c>
      <c r="L16" s="37" t="s">
        <v>478</v>
      </c>
      <c r="M16" s="37" t="s">
        <v>752</v>
      </c>
      <c r="N16" s="37" t="s">
        <v>762</v>
      </c>
    </row>
    <row r="17" customFormat="false" ht="12.75" hidden="false" customHeight="true" outlineLevel="0" collapsed="false">
      <c r="A17" s="37" t="n">
        <v>16</v>
      </c>
      <c r="B17" s="37" t="s">
        <v>162</v>
      </c>
      <c r="C17" s="37" t="s">
        <v>749</v>
      </c>
      <c r="D17" s="37" t="s">
        <v>763</v>
      </c>
      <c r="E17" s="38" t="s">
        <v>764</v>
      </c>
      <c r="F17" s="37" t="s">
        <v>77</v>
      </c>
      <c r="G17" s="37" t="s">
        <v>156</v>
      </c>
      <c r="H17" s="37" t="n">
        <v>5</v>
      </c>
      <c r="I17" s="37"/>
      <c r="J17" s="37" t="s">
        <v>76</v>
      </c>
      <c r="K17" s="37" t="s">
        <v>79</v>
      </c>
      <c r="L17" s="37" t="s">
        <v>478</v>
      </c>
      <c r="M17" s="37" t="s">
        <v>752</v>
      </c>
      <c r="N17" s="37" t="s">
        <v>762</v>
      </c>
    </row>
    <row r="18" customFormat="false" ht="12.75" hidden="false" customHeight="true" outlineLevel="0" collapsed="false">
      <c r="A18" s="37" t="n">
        <v>17</v>
      </c>
      <c r="B18" s="37" t="s">
        <v>167</v>
      </c>
      <c r="C18" s="37" t="s">
        <v>749</v>
      </c>
      <c r="D18" s="37" t="s">
        <v>765</v>
      </c>
      <c r="E18" s="38" t="s">
        <v>766</v>
      </c>
      <c r="F18" s="37" t="s">
        <v>81</v>
      </c>
      <c r="G18" s="37" t="s">
        <v>136</v>
      </c>
      <c r="H18" s="37" t="n">
        <v>8</v>
      </c>
      <c r="I18" s="37"/>
      <c r="J18" s="37" t="s">
        <v>80</v>
      </c>
      <c r="K18" s="37" t="s">
        <v>83</v>
      </c>
      <c r="L18" s="37" t="s">
        <v>478</v>
      </c>
      <c r="M18" s="37" t="s">
        <v>767</v>
      </c>
      <c r="N18" s="37" t="s">
        <v>768</v>
      </c>
    </row>
    <row r="19" customFormat="false" ht="12.75" hidden="false" customHeight="true" outlineLevel="0" collapsed="false">
      <c r="A19" s="37" t="n">
        <v>18</v>
      </c>
      <c r="B19" s="37" t="s">
        <v>172</v>
      </c>
      <c r="C19" s="37" t="s">
        <v>749</v>
      </c>
      <c r="D19" s="37" t="s">
        <v>769</v>
      </c>
      <c r="E19" s="38" t="s">
        <v>770</v>
      </c>
      <c r="F19" s="37" t="s">
        <v>81</v>
      </c>
      <c r="G19" s="37" t="s">
        <v>176</v>
      </c>
      <c r="H19" s="37" t="n">
        <v>5</v>
      </c>
      <c r="I19" s="37"/>
      <c r="J19" s="37" t="s">
        <v>80</v>
      </c>
      <c r="K19" s="37" t="s">
        <v>83</v>
      </c>
      <c r="L19" s="37" t="s">
        <v>478</v>
      </c>
      <c r="M19" s="37" t="s">
        <v>767</v>
      </c>
      <c r="N19" s="37" t="s">
        <v>771</v>
      </c>
    </row>
    <row r="20" customFormat="false" ht="12.75" hidden="false" customHeight="true" outlineLevel="0" collapsed="false">
      <c r="A20" s="37" t="n">
        <v>19</v>
      </c>
      <c r="B20" s="37" t="s">
        <v>177</v>
      </c>
      <c r="C20" s="37" t="s">
        <v>749</v>
      </c>
      <c r="D20" s="37" t="s">
        <v>772</v>
      </c>
      <c r="E20" s="38" t="s">
        <v>773</v>
      </c>
      <c r="F20" s="37" t="s">
        <v>81</v>
      </c>
      <c r="G20" s="37" t="s">
        <v>176</v>
      </c>
      <c r="H20" s="37" t="n">
        <v>5</v>
      </c>
      <c r="I20" s="37"/>
      <c r="J20" s="37" t="s">
        <v>80</v>
      </c>
      <c r="K20" s="37" t="s">
        <v>83</v>
      </c>
      <c r="L20" s="37" t="s">
        <v>478</v>
      </c>
      <c r="M20" s="37" t="s">
        <v>767</v>
      </c>
      <c r="N20" s="37" t="s">
        <v>771</v>
      </c>
    </row>
    <row r="21" customFormat="false" ht="12.75" hidden="false" customHeight="true" outlineLevel="0" collapsed="false">
      <c r="A21" s="37" t="n">
        <v>20</v>
      </c>
      <c r="B21" s="37" t="s">
        <v>182</v>
      </c>
      <c r="C21" s="37" t="s">
        <v>749</v>
      </c>
      <c r="D21" s="37" t="s">
        <v>774</v>
      </c>
      <c r="E21" s="38" t="s">
        <v>775</v>
      </c>
      <c r="F21" s="37" t="s">
        <v>81</v>
      </c>
      <c r="G21" s="37" t="s">
        <v>136</v>
      </c>
      <c r="H21" s="37" t="n">
        <v>8</v>
      </c>
      <c r="I21" s="37"/>
      <c r="J21" s="37" t="s">
        <v>80</v>
      </c>
      <c r="K21" s="37" t="s">
        <v>83</v>
      </c>
      <c r="L21" s="37" t="s">
        <v>478</v>
      </c>
      <c r="M21" s="37" t="s">
        <v>767</v>
      </c>
      <c r="N21" s="37" t="s">
        <v>776</v>
      </c>
    </row>
    <row r="22" customFormat="false" ht="12.75" hidden="false" customHeight="true" outlineLevel="0" collapsed="false">
      <c r="A22" s="37" t="n">
        <v>21</v>
      </c>
      <c r="B22" s="37" t="s">
        <v>189</v>
      </c>
      <c r="C22" s="37" t="s">
        <v>749</v>
      </c>
      <c r="D22" s="37" t="s">
        <v>777</v>
      </c>
      <c r="E22" s="38" t="s">
        <v>778</v>
      </c>
      <c r="F22" s="37" t="s">
        <v>81</v>
      </c>
      <c r="G22" s="37" t="s">
        <v>176</v>
      </c>
      <c r="H22" s="37" t="n">
        <v>5</v>
      </c>
      <c r="I22" s="37"/>
      <c r="J22" s="37" t="s">
        <v>80</v>
      </c>
      <c r="K22" s="37" t="s">
        <v>83</v>
      </c>
      <c r="L22" s="37" t="s">
        <v>478</v>
      </c>
      <c r="M22" s="37" t="s">
        <v>767</v>
      </c>
      <c r="N22" s="37" t="s">
        <v>779</v>
      </c>
    </row>
    <row r="23" customFormat="false" ht="12.75" hidden="false" customHeight="true" outlineLevel="0" collapsed="false">
      <c r="A23" s="37" t="n">
        <v>22</v>
      </c>
      <c r="B23" s="37" t="s">
        <v>193</v>
      </c>
      <c r="C23" s="37" t="s">
        <v>749</v>
      </c>
      <c r="D23" s="37" t="s">
        <v>780</v>
      </c>
      <c r="E23" s="38" t="s">
        <v>781</v>
      </c>
      <c r="F23" s="37" t="s">
        <v>81</v>
      </c>
      <c r="G23" s="37" t="s">
        <v>156</v>
      </c>
      <c r="H23" s="37" t="n">
        <v>5</v>
      </c>
      <c r="I23" s="37"/>
      <c r="J23" s="37" t="s">
        <v>80</v>
      </c>
      <c r="K23" s="37" t="s">
        <v>83</v>
      </c>
      <c r="L23" s="37" t="s">
        <v>478</v>
      </c>
      <c r="M23" s="37" t="s">
        <v>767</v>
      </c>
      <c r="N23" s="37" t="s">
        <v>762</v>
      </c>
    </row>
    <row r="24" customFormat="false" ht="12.75" hidden="false" customHeight="true" outlineLevel="0" collapsed="false">
      <c r="A24" s="37" t="n">
        <v>23</v>
      </c>
      <c r="B24" s="37" t="s">
        <v>198</v>
      </c>
      <c r="C24" s="37" t="s">
        <v>749</v>
      </c>
      <c r="D24" s="37" t="s">
        <v>782</v>
      </c>
      <c r="E24" s="38" t="s">
        <v>783</v>
      </c>
      <c r="F24" s="37" t="s">
        <v>199</v>
      </c>
      <c r="G24" s="37" t="s">
        <v>136</v>
      </c>
      <c r="H24" s="37" t="n">
        <v>8</v>
      </c>
      <c r="I24" s="37"/>
      <c r="J24" s="37" t="s">
        <v>84</v>
      </c>
      <c r="K24" s="37" t="s">
        <v>87</v>
      </c>
      <c r="L24" s="37" t="s">
        <v>478</v>
      </c>
      <c r="M24" s="37" t="s">
        <v>784</v>
      </c>
      <c r="N24" s="37"/>
    </row>
    <row r="25" customFormat="false" ht="12.75" hidden="false" customHeight="true" outlineLevel="0" collapsed="false">
      <c r="A25" s="37" t="n">
        <v>24</v>
      </c>
      <c r="B25" s="37" t="s">
        <v>205</v>
      </c>
      <c r="C25" s="37" t="s">
        <v>749</v>
      </c>
      <c r="D25" s="37" t="s">
        <v>785</v>
      </c>
      <c r="E25" s="38" t="s">
        <v>786</v>
      </c>
      <c r="F25" s="37" t="s">
        <v>85</v>
      </c>
      <c r="G25" s="37" t="s">
        <v>136</v>
      </c>
      <c r="H25" s="37" t="n">
        <v>5</v>
      </c>
      <c r="I25" s="37"/>
      <c r="J25" s="37" t="s">
        <v>84</v>
      </c>
      <c r="K25" s="37" t="s">
        <v>87</v>
      </c>
      <c r="L25" s="37" t="s">
        <v>478</v>
      </c>
      <c r="M25" s="37" t="s">
        <v>784</v>
      </c>
      <c r="N25" s="37" t="s">
        <v>787</v>
      </c>
    </row>
    <row r="26" customFormat="false" ht="12.75" hidden="false" customHeight="true" outlineLevel="0" collapsed="false">
      <c r="A26" s="37" t="n">
        <v>25</v>
      </c>
      <c r="B26" s="37" t="s">
        <v>209</v>
      </c>
      <c r="C26" s="37" t="s">
        <v>749</v>
      </c>
      <c r="D26" s="37" t="s">
        <v>788</v>
      </c>
      <c r="E26" s="38" t="s">
        <v>789</v>
      </c>
      <c r="F26" s="37" t="s">
        <v>85</v>
      </c>
      <c r="G26" s="37" t="s">
        <v>136</v>
      </c>
      <c r="H26" s="37" t="n">
        <v>8</v>
      </c>
      <c r="I26" s="37"/>
      <c r="J26" s="37" t="s">
        <v>84</v>
      </c>
      <c r="K26" s="37" t="s">
        <v>87</v>
      </c>
      <c r="L26" s="37" t="s">
        <v>478</v>
      </c>
      <c r="M26" s="37" t="s">
        <v>784</v>
      </c>
      <c r="N26" s="37" t="s">
        <v>779</v>
      </c>
    </row>
    <row r="27" customFormat="false" ht="12.75" hidden="false" customHeight="true" outlineLevel="0" collapsed="false">
      <c r="A27" s="37" t="n">
        <v>26</v>
      </c>
      <c r="B27" s="37" t="s">
        <v>215</v>
      </c>
      <c r="C27" s="37" t="s">
        <v>749</v>
      </c>
      <c r="D27" s="37" t="s">
        <v>790</v>
      </c>
      <c r="E27" s="38" t="s">
        <v>791</v>
      </c>
      <c r="F27" s="37" t="s">
        <v>85</v>
      </c>
      <c r="G27" s="37" t="s">
        <v>176</v>
      </c>
      <c r="H27" s="37" t="n">
        <v>5</v>
      </c>
      <c r="I27" s="37"/>
      <c r="J27" s="37" t="s">
        <v>84</v>
      </c>
      <c r="K27" s="37" t="s">
        <v>87</v>
      </c>
      <c r="L27" s="37" t="s">
        <v>478</v>
      </c>
      <c r="M27" s="37" t="s">
        <v>784</v>
      </c>
      <c r="N27" s="37" t="s">
        <v>792</v>
      </c>
    </row>
    <row r="28" customFormat="false" ht="12.75" hidden="false" customHeight="true" outlineLevel="0" collapsed="false">
      <c r="A28" s="37" t="n">
        <v>27</v>
      </c>
      <c r="B28" s="37" t="s">
        <v>220</v>
      </c>
      <c r="C28" s="37" t="s">
        <v>749</v>
      </c>
      <c r="D28" s="37" t="s">
        <v>793</v>
      </c>
      <c r="E28" s="38" t="s">
        <v>794</v>
      </c>
      <c r="F28" s="37" t="s">
        <v>85</v>
      </c>
      <c r="G28" s="37" t="s">
        <v>156</v>
      </c>
      <c r="H28" s="37" t="n">
        <v>5</v>
      </c>
      <c r="I28" s="37"/>
      <c r="J28" s="37" t="s">
        <v>84</v>
      </c>
      <c r="K28" s="37" t="s">
        <v>87</v>
      </c>
      <c r="L28" s="37" t="s">
        <v>478</v>
      </c>
      <c r="M28" s="37" t="s">
        <v>784</v>
      </c>
      <c r="N28" s="37" t="s">
        <v>795</v>
      </c>
    </row>
    <row r="29" customFormat="false" ht="12.75" hidden="false" customHeight="true" outlineLevel="0" collapsed="false">
      <c r="A29" s="37" t="n">
        <v>28</v>
      </c>
      <c r="B29" s="37" t="s">
        <v>225</v>
      </c>
      <c r="C29" s="37" t="s">
        <v>749</v>
      </c>
      <c r="D29" s="37" t="s">
        <v>796</v>
      </c>
      <c r="E29" s="38" t="s">
        <v>797</v>
      </c>
      <c r="F29" s="37" t="s">
        <v>85</v>
      </c>
      <c r="G29" s="37" t="s">
        <v>156</v>
      </c>
      <c r="H29" s="37" t="n">
        <v>5</v>
      </c>
      <c r="I29" s="37"/>
      <c r="J29" s="37" t="s">
        <v>84</v>
      </c>
      <c r="K29" s="37" t="s">
        <v>87</v>
      </c>
      <c r="L29" s="37" t="s">
        <v>478</v>
      </c>
      <c r="M29" s="37" t="s">
        <v>784</v>
      </c>
      <c r="N29" s="37"/>
    </row>
    <row r="30" customFormat="false" ht="12.75" hidden="false" customHeight="true" outlineLevel="0" collapsed="false">
      <c r="A30" s="37" t="n">
        <v>29</v>
      </c>
      <c r="B30" s="37" t="s">
        <v>230</v>
      </c>
      <c r="C30" s="37" t="s">
        <v>749</v>
      </c>
      <c r="D30" s="37" t="s">
        <v>798</v>
      </c>
      <c r="E30" s="38" t="s">
        <v>799</v>
      </c>
      <c r="F30" s="37" t="s">
        <v>89</v>
      </c>
      <c r="G30" s="37" t="s">
        <v>136</v>
      </c>
      <c r="H30" s="37" t="n">
        <v>5</v>
      </c>
      <c r="I30" s="37"/>
      <c r="J30" s="37" t="s">
        <v>88</v>
      </c>
      <c r="K30" s="37" t="s">
        <v>91</v>
      </c>
      <c r="L30" s="37" t="s">
        <v>478</v>
      </c>
      <c r="M30" s="37" t="s">
        <v>800</v>
      </c>
      <c r="N30" s="37" t="s">
        <v>795</v>
      </c>
    </row>
    <row r="31" customFormat="false" ht="12.75" hidden="false" customHeight="true" outlineLevel="0" collapsed="false">
      <c r="A31" s="37" t="n">
        <v>30</v>
      </c>
      <c r="B31" s="37" t="s">
        <v>235</v>
      </c>
      <c r="C31" s="37" t="s">
        <v>749</v>
      </c>
      <c r="D31" s="37" t="s">
        <v>801</v>
      </c>
      <c r="E31" s="38" t="s">
        <v>802</v>
      </c>
      <c r="F31" s="37" t="s">
        <v>89</v>
      </c>
      <c r="G31" s="37" t="s">
        <v>136</v>
      </c>
      <c r="H31" s="37" t="n">
        <v>8</v>
      </c>
      <c r="I31" s="37"/>
      <c r="J31" s="37" t="s">
        <v>88</v>
      </c>
      <c r="K31" s="37" t="s">
        <v>91</v>
      </c>
      <c r="L31" s="37" t="s">
        <v>478</v>
      </c>
      <c r="M31" s="37" t="s">
        <v>800</v>
      </c>
      <c r="N31" s="37" t="s">
        <v>803</v>
      </c>
    </row>
    <row r="32" customFormat="false" ht="12.75" hidden="false" customHeight="true" outlineLevel="0" collapsed="false">
      <c r="A32" s="37" t="n">
        <v>31</v>
      </c>
      <c r="B32" s="37" t="s">
        <v>242</v>
      </c>
      <c r="C32" s="37" t="s">
        <v>749</v>
      </c>
      <c r="D32" s="37" t="s">
        <v>804</v>
      </c>
      <c r="E32" s="38" t="s">
        <v>805</v>
      </c>
      <c r="F32" s="37" t="s">
        <v>89</v>
      </c>
      <c r="G32" s="37" t="s">
        <v>176</v>
      </c>
      <c r="H32" s="37" t="n">
        <v>5</v>
      </c>
      <c r="I32" s="37"/>
      <c r="J32" s="37" t="s">
        <v>88</v>
      </c>
      <c r="K32" s="37" t="s">
        <v>91</v>
      </c>
      <c r="L32" s="37" t="s">
        <v>478</v>
      </c>
      <c r="M32" s="37" t="s">
        <v>800</v>
      </c>
      <c r="N32" s="37" t="s">
        <v>806</v>
      </c>
    </row>
    <row r="33" customFormat="false" ht="12.75" hidden="false" customHeight="true" outlineLevel="0" collapsed="false">
      <c r="A33" s="37" t="n">
        <v>32</v>
      </c>
      <c r="B33" s="37" t="s">
        <v>247</v>
      </c>
      <c r="C33" s="37" t="s">
        <v>749</v>
      </c>
      <c r="D33" s="37" t="s">
        <v>807</v>
      </c>
      <c r="E33" s="38" t="s">
        <v>808</v>
      </c>
      <c r="F33" s="37" t="s">
        <v>89</v>
      </c>
      <c r="G33" s="37" t="s">
        <v>251</v>
      </c>
      <c r="H33" s="37" t="n">
        <v>3</v>
      </c>
      <c r="I33" s="37"/>
      <c r="J33" s="37" t="s">
        <v>88</v>
      </c>
      <c r="K33" s="37" t="s">
        <v>91</v>
      </c>
      <c r="L33" s="37" t="s">
        <v>478</v>
      </c>
      <c r="M33" s="37" t="s">
        <v>800</v>
      </c>
      <c r="N33" s="37" t="s">
        <v>809</v>
      </c>
    </row>
    <row r="34" customFormat="false" ht="12.75" hidden="false" customHeight="true" outlineLevel="0" collapsed="false">
      <c r="A34" s="37" t="n">
        <v>33</v>
      </c>
      <c r="B34" s="37" t="s">
        <v>252</v>
      </c>
      <c r="C34" s="37" t="s">
        <v>749</v>
      </c>
      <c r="D34" s="37" t="s">
        <v>810</v>
      </c>
      <c r="E34" s="38" t="s">
        <v>811</v>
      </c>
      <c r="F34" s="37" t="s">
        <v>93</v>
      </c>
      <c r="G34" s="37" t="s">
        <v>136</v>
      </c>
      <c r="H34" s="37" t="n">
        <v>8</v>
      </c>
      <c r="I34" s="37"/>
      <c r="J34" s="37" t="s">
        <v>92</v>
      </c>
      <c r="K34" s="37" t="s">
        <v>95</v>
      </c>
      <c r="L34" s="37" t="s">
        <v>478</v>
      </c>
      <c r="M34" s="37" t="s">
        <v>812</v>
      </c>
      <c r="N34" s="37" t="s">
        <v>795</v>
      </c>
    </row>
    <row r="35" customFormat="false" ht="12.75" hidden="false" customHeight="true" outlineLevel="0" collapsed="false">
      <c r="A35" s="37" t="n">
        <v>34</v>
      </c>
      <c r="B35" s="37" t="s">
        <v>258</v>
      </c>
      <c r="C35" s="37" t="s">
        <v>749</v>
      </c>
      <c r="D35" s="37" t="s">
        <v>813</v>
      </c>
      <c r="E35" s="38" t="s">
        <v>814</v>
      </c>
      <c r="F35" s="37" t="s">
        <v>93</v>
      </c>
      <c r="G35" s="37" t="s">
        <v>136</v>
      </c>
      <c r="H35" s="37" t="n">
        <v>8</v>
      </c>
      <c r="I35" s="37"/>
      <c r="J35" s="37" t="s">
        <v>92</v>
      </c>
      <c r="K35" s="37" t="s">
        <v>95</v>
      </c>
      <c r="L35" s="37" t="s">
        <v>478</v>
      </c>
      <c r="M35" s="37" t="s">
        <v>812</v>
      </c>
      <c r="N35" s="37" t="s">
        <v>815</v>
      </c>
    </row>
    <row r="36" customFormat="false" ht="12.75" hidden="false" customHeight="true" outlineLevel="0" collapsed="false">
      <c r="A36" s="37" t="n">
        <v>35</v>
      </c>
      <c r="B36" s="37" t="s">
        <v>265</v>
      </c>
      <c r="C36" s="37" t="s">
        <v>749</v>
      </c>
      <c r="D36" s="37" t="s">
        <v>816</v>
      </c>
      <c r="E36" s="38" t="s">
        <v>817</v>
      </c>
      <c r="F36" s="37" t="s">
        <v>93</v>
      </c>
      <c r="G36" s="37" t="s">
        <v>176</v>
      </c>
      <c r="H36" s="37" t="n">
        <v>5</v>
      </c>
      <c r="I36" s="37"/>
      <c r="J36" s="37" t="s">
        <v>92</v>
      </c>
      <c r="K36" s="37" t="s">
        <v>95</v>
      </c>
      <c r="L36" s="37" t="s">
        <v>478</v>
      </c>
      <c r="M36" s="37" t="s">
        <v>812</v>
      </c>
      <c r="N36" s="37" t="s">
        <v>818</v>
      </c>
    </row>
    <row r="37" customFormat="false" ht="12.75" hidden="false" customHeight="true" outlineLevel="0" collapsed="false">
      <c r="A37" s="37" t="n">
        <v>36</v>
      </c>
      <c r="B37" s="37" t="s">
        <v>270</v>
      </c>
      <c r="C37" s="37" t="s">
        <v>749</v>
      </c>
      <c r="D37" s="37" t="s">
        <v>819</v>
      </c>
      <c r="E37" s="38" t="s">
        <v>820</v>
      </c>
      <c r="F37" s="37" t="s">
        <v>93</v>
      </c>
      <c r="G37" s="37" t="s">
        <v>136</v>
      </c>
      <c r="H37" s="37" t="n">
        <v>8</v>
      </c>
      <c r="I37" s="37"/>
      <c r="J37" s="37" t="s">
        <v>92</v>
      </c>
      <c r="K37" s="37" t="s">
        <v>95</v>
      </c>
      <c r="L37" s="37" t="s">
        <v>478</v>
      </c>
      <c r="M37" s="37" t="s">
        <v>812</v>
      </c>
      <c r="N37" s="37" t="s">
        <v>818</v>
      </c>
    </row>
    <row r="38" customFormat="false" ht="12.75" hidden="false" customHeight="true" outlineLevel="0" collapsed="false">
      <c r="A38" s="37" t="n">
        <v>37</v>
      </c>
      <c r="B38" s="37" t="s">
        <v>275</v>
      </c>
      <c r="C38" s="37" t="s">
        <v>749</v>
      </c>
      <c r="D38" s="37" t="s">
        <v>821</v>
      </c>
      <c r="E38" s="38" t="s">
        <v>822</v>
      </c>
      <c r="F38" s="37" t="s">
        <v>93</v>
      </c>
      <c r="G38" s="37" t="s">
        <v>176</v>
      </c>
      <c r="H38" s="37" t="n">
        <v>5</v>
      </c>
      <c r="I38" s="37"/>
      <c r="J38" s="37" t="s">
        <v>92</v>
      </c>
      <c r="K38" s="37" t="s">
        <v>95</v>
      </c>
      <c r="L38" s="37" t="s">
        <v>478</v>
      </c>
      <c r="M38" s="37" t="s">
        <v>812</v>
      </c>
      <c r="N38" s="37" t="s">
        <v>823</v>
      </c>
    </row>
    <row r="39" customFormat="false" ht="12.75" hidden="false" customHeight="true" outlineLevel="0" collapsed="false">
      <c r="A39" s="37" t="n">
        <v>38</v>
      </c>
      <c r="B39" s="37" t="s">
        <v>280</v>
      </c>
      <c r="C39" s="37" t="s">
        <v>749</v>
      </c>
      <c r="D39" s="37" t="s">
        <v>824</v>
      </c>
      <c r="E39" s="38" t="s">
        <v>825</v>
      </c>
      <c r="F39" s="37" t="s">
        <v>93</v>
      </c>
      <c r="G39" s="37" t="s">
        <v>156</v>
      </c>
      <c r="H39" s="37" t="n">
        <v>5</v>
      </c>
      <c r="I39" s="37"/>
      <c r="J39" s="37" t="s">
        <v>92</v>
      </c>
      <c r="K39" s="37" t="s">
        <v>95</v>
      </c>
      <c r="L39" s="37" t="s">
        <v>478</v>
      </c>
      <c r="M39" s="37" t="s">
        <v>812</v>
      </c>
      <c r="N39" s="37" t="s">
        <v>826</v>
      </c>
    </row>
    <row r="40" customFormat="false" ht="12.75" hidden="false" customHeight="true" outlineLevel="0" collapsed="false">
      <c r="A40" s="37" t="n">
        <v>39</v>
      </c>
      <c r="B40" s="37" t="s">
        <v>284</v>
      </c>
      <c r="C40" s="37" t="s">
        <v>749</v>
      </c>
      <c r="D40" s="37" t="s">
        <v>827</v>
      </c>
      <c r="E40" s="38" t="s">
        <v>828</v>
      </c>
      <c r="F40" s="37" t="s">
        <v>285</v>
      </c>
      <c r="G40" s="37" t="s">
        <v>136</v>
      </c>
      <c r="H40" s="37" t="n">
        <v>8</v>
      </c>
      <c r="I40" s="37"/>
      <c r="J40" s="37" t="s">
        <v>96</v>
      </c>
      <c r="K40" s="37" t="s">
        <v>91</v>
      </c>
      <c r="L40" s="37" t="s">
        <v>478</v>
      </c>
      <c r="M40" s="37" t="s">
        <v>800</v>
      </c>
      <c r="N40" s="37"/>
    </row>
    <row r="41" customFormat="false" ht="12.75" hidden="false" customHeight="true" outlineLevel="0" collapsed="false">
      <c r="A41" s="37" t="n">
        <v>40</v>
      </c>
      <c r="B41" s="37" t="s">
        <v>291</v>
      </c>
      <c r="C41" s="37" t="s">
        <v>749</v>
      </c>
      <c r="D41" s="37" t="s">
        <v>829</v>
      </c>
      <c r="E41" s="38" t="s">
        <v>830</v>
      </c>
      <c r="F41" s="37" t="s">
        <v>285</v>
      </c>
      <c r="G41" s="37" t="s">
        <v>136</v>
      </c>
      <c r="H41" s="37" t="n">
        <v>8</v>
      </c>
      <c r="I41" s="37"/>
      <c r="J41" s="37" t="s">
        <v>96</v>
      </c>
      <c r="K41" s="37" t="s">
        <v>91</v>
      </c>
      <c r="L41" s="37" t="s">
        <v>478</v>
      </c>
      <c r="M41" s="37" t="s">
        <v>800</v>
      </c>
      <c r="N41" s="37"/>
    </row>
    <row r="42" customFormat="false" ht="12.75" hidden="false" customHeight="true" outlineLevel="0" collapsed="false">
      <c r="A42" s="37" t="n">
        <v>41</v>
      </c>
      <c r="B42" s="37" t="s">
        <v>297</v>
      </c>
      <c r="C42" s="37" t="s">
        <v>749</v>
      </c>
      <c r="D42" s="37" t="s">
        <v>831</v>
      </c>
      <c r="E42" s="38" t="s">
        <v>832</v>
      </c>
      <c r="F42" s="37" t="s">
        <v>285</v>
      </c>
      <c r="G42" s="37" t="s">
        <v>176</v>
      </c>
      <c r="H42" s="37" t="n">
        <v>5</v>
      </c>
      <c r="I42" s="37"/>
      <c r="J42" s="37" t="s">
        <v>96</v>
      </c>
      <c r="K42" s="37" t="s">
        <v>91</v>
      </c>
      <c r="L42" s="37" t="s">
        <v>478</v>
      </c>
      <c r="M42" s="37" t="s">
        <v>800</v>
      </c>
      <c r="N42" s="37" t="s">
        <v>833</v>
      </c>
    </row>
    <row r="43" customFormat="false" ht="12.75" hidden="false" customHeight="true" outlineLevel="0" collapsed="false">
      <c r="A43" s="37" t="n">
        <v>42</v>
      </c>
      <c r="B43" s="37" t="s">
        <v>302</v>
      </c>
      <c r="C43" s="37" t="s">
        <v>749</v>
      </c>
      <c r="D43" s="37" t="s">
        <v>834</v>
      </c>
      <c r="E43" s="38" t="s">
        <v>835</v>
      </c>
      <c r="F43" s="37" t="s">
        <v>285</v>
      </c>
      <c r="G43" s="37" t="s">
        <v>156</v>
      </c>
      <c r="H43" s="37" t="n">
        <v>3</v>
      </c>
      <c r="I43" s="37"/>
      <c r="J43" s="37" t="s">
        <v>96</v>
      </c>
      <c r="K43" s="37" t="s">
        <v>91</v>
      </c>
      <c r="L43" s="37" t="s">
        <v>478</v>
      </c>
      <c r="M43" s="37" t="s">
        <v>800</v>
      </c>
      <c r="N43" s="37" t="s">
        <v>836</v>
      </c>
    </row>
    <row r="44" customFormat="false" ht="12.75" hidden="false" customHeight="true" outlineLevel="0" collapsed="false">
      <c r="A44" s="37" t="n">
        <v>43</v>
      </c>
      <c r="B44" s="37" t="s">
        <v>306</v>
      </c>
      <c r="C44" s="37" t="s">
        <v>749</v>
      </c>
      <c r="D44" s="37" t="s">
        <v>837</v>
      </c>
      <c r="E44" s="38" t="s">
        <v>838</v>
      </c>
      <c r="F44" s="37" t="s">
        <v>308</v>
      </c>
      <c r="G44" s="37" t="s">
        <v>136</v>
      </c>
      <c r="H44" s="37" t="n">
        <v>5</v>
      </c>
      <c r="I44" s="37"/>
      <c r="J44" s="37" t="s">
        <v>99</v>
      </c>
      <c r="K44" s="37" t="s">
        <v>87</v>
      </c>
      <c r="L44" s="37" t="s">
        <v>478</v>
      </c>
      <c r="M44" s="37" t="s">
        <v>839</v>
      </c>
      <c r="N44" s="37" t="s">
        <v>792</v>
      </c>
    </row>
    <row r="45" customFormat="false" ht="12.75" hidden="false" customHeight="true" outlineLevel="0" collapsed="false">
      <c r="A45" s="37" t="n">
        <v>44</v>
      </c>
      <c r="B45" s="37" t="s">
        <v>313</v>
      </c>
      <c r="C45" s="37" t="s">
        <v>749</v>
      </c>
      <c r="D45" s="37" t="s">
        <v>840</v>
      </c>
      <c r="E45" s="38" t="s">
        <v>841</v>
      </c>
      <c r="F45" s="37" t="s">
        <v>308</v>
      </c>
      <c r="G45" s="37" t="s">
        <v>136</v>
      </c>
      <c r="H45" s="37" t="n">
        <v>8</v>
      </c>
      <c r="I45" s="37"/>
      <c r="J45" s="37" t="s">
        <v>99</v>
      </c>
      <c r="K45" s="37" t="s">
        <v>87</v>
      </c>
      <c r="L45" s="37" t="s">
        <v>478</v>
      </c>
      <c r="M45" s="37" t="s">
        <v>839</v>
      </c>
      <c r="N45" s="37" t="s">
        <v>842</v>
      </c>
    </row>
    <row r="46" customFormat="false" ht="12.75" hidden="false" customHeight="true" outlineLevel="0" collapsed="false">
      <c r="A46" s="37" t="n">
        <v>45</v>
      </c>
      <c r="B46" s="37" t="s">
        <v>318</v>
      </c>
      <c r="C46" s="37" t="s">
        <v>749</v>
      </c>
      <c r="D46" s="37" t="s">
        <v>843</v>
      </c>
      <c r="E46" s="38" t="s">
        <v>844</v>
      </c>
      <c r="F46" s="37" t="s">
        <v>308</v>
      </c>
      <c r="G46" s="37" t="s">
        <v>136</v>
      </c>
      <c r="H46" s="37" t="n">
        <v>8</v>
      </c>
      <c r="I46" s="37"/>
      <c r="J46" s="37" t="s">
        <v>99</v>
      </c>
      <c r="K46" s="37" t="s">
        <v>87</v>
      </c>
      <c r="L46" s="37" t="s">
        <v>478</v>
      </c>
      <c r="M46" s="37" t="s">
        <v>839</v>
      </c>
      <c r="N46" s="37" t="s">
        <v>795</v>
      </c>
    </row>
    <row r="47" customFormat="false" ht="12.75" hidden="false" customHeight="true" outlineLevel="0" collapsed="false">
      <c r="A47" s="37" t="n">
        <v>46</v>
      </c>
      <c r="B47" s="37" t="s">
        <v>322</v>
      </c>
      <c r="C47" s="37" t="s">
        <v>749</v>
      </c>
      <c r="D47" s="37" t="s">
        <v>845</v>
      </c>
      <c r="E47" s="38" t="s">
        <v>846</v>
      </c>
      <c r="F47" s="37" t="s">
        <v>308</v>
      </c>
      <c r="G47" s="37" t="s">
        <v>136</v>
      </c>
      <c r="H47" s="37" t="n">
        <v>8</v>
      </c>
      <c r="I47" s="37"/>
      <c r="J47" s="37" t="s">
        <v>99</v>
      </c>
      <c r="K47" s="37" t="s">
        <v>87</v>
      </c>
      <c r="L47" s="37" t="s">
        <v>478</v>
      </c>
      <c r="M47" s="37" t="s">
        <v>839</v>
      </c>
      <c r="N47" s="37" t="s">
        <v>847</v>
      </c>
    </row>
    <row r="48" customFormat="false" ht="12.75" hidden="false" customHeight="true" outlineLevel="0" collapsed="false">
      <c r="A48" s="37" t="n">
        <v>47</v>
      </c>
      <c r="B48" s="37" t="s">
        <v>326</v>
      </c>
      <c r="C48" s="37" t="s">
        <v>749</v>
      </c>
      <c r="D48" s="37" t="s">
        <v>848</v>
      </c>
      <c r="E48" s="38" t="s">
        <v>849</v>
      </c>
      <c r="F48" s="37" t="s">
        <v>308</v>
      </c>
      <c r="G48" s="37" t="s">
        <v>136</v>
      </c>
      <c r="H48" s="37" t="n">
        <v>5</v>
      </c>
      <c r="I48" s="37"/>
      <c r="J48" s="37" t="s">
        <v>99</v>
      </c>
      <c r="K48" s="37" t="s">
        <v>95</v>
      </c>
      <c r="L48" s="37" t="s">
        <v>478</v>
      </c>
      <c r="M48" s="37" t="s">
        <v>850</v>
      </c>
      <c r="N48" s="37" t="s">
        <v>818</v>
      </c>
    </row>
    <row r="49" customFormat="false" ht="12.75" hidden="false" customHeight="true" outlineLevel="0" collapsed="false">
      <c r="A49" s="37" t="n">
        <v>48</v>
      </c>
      <c r="B49" s="37" t="s">
        <v>330</v>
      </c>
      <c r="C49" s="37" t="s">
        <v>749</v>
      </c>
      <c r="D49" s="37" t="s">
        <v>851</v>
      </c>
      <c r="E49" s="38" t="s">
        <v>852</v>
      </c>
      <c r="F49" s="37" t="s">
        <v>308</v>
      </c>
      <c r="G49" s="37" t="s">
        <v>176</v>
      </c>
      <c r="H49" s="37" t="n">
        <v>3</v>
      </c>
      <c r="I49" s="37"/>
      <c r="J49" s="37" t="s">
        <v>99</v>
      </c>
      <c r="K49" s="37" t="s">
        <v>87</v>
      </c>
      <c r="L49" s="37" t="s">
        <v>478</v>
      </c>
      <c r="M49" s="37" t="s">
        <v>839</v>
      </c>
      <c r="N49" s="37" t="s">
        <v>792</v>
      </c>
    </row>
    <row r="50" customFormat="false" ht="12.75" hidden="false" customHeight="true" outlineLevel="0" collapsed="false">
      <c r="A50" s="37" t="n">
        <v>49</v>
      </c>
      <c r="B50" s="37" t="s">
        <v>334</v>
      </c>
      <c r="C50" s="37" t="s">
        <v>749</v>
      </c>
      <c r="D50" s="37" t="s">
        <v>853</v>
      </c>
      <c r="E50" s="38" t="s">
        <v>854</v>
      </c>
      <c r="F50" s="37" t="s">
        <v>308</v>
      </c>
      <c r="G50" s="37" t="s">
        <v>156</v>
      </c>
      <c r="H50" s="37" t="n">
        <v>3</v>
      </c>
      <c r="I50" s="37"/>
      <c r="J50" s="37" t="s">
        <v>99</v>
      </c>
      <c r="K50" s="37" t="s">
        <v>87</v>
      </c>
      <c r="L50" s="37" t="s">
        <v>478</v>
      </c>
      <c r="M50" s="37" t="s">
        <v>839</v>
      </c>
      <c r="N50" s="37" t="s">
        <v>855</v>
      </c>
    </row>
    <row r="51" customFormat="false" ht="12.75" hidden="false" customHeight="true" outlineLevel="0" collapsed="false">
      <c r="A51" s="37" t="n">
        <v>50</v>
      </c>
      <c r="B51" s="37" t="s">
        <v>338</v>
      </c>
      <c r="C51" s="37" t="s">
        <v>749</v>
      </c>
      <c r="D51" s="37" t="s">
        <v>856</v>
      </c>
      <c r="E51" s="38" t="s">
        <v>857</v>
      </c>
      <c r="F51" s="37" t="s">
        <v>308</v>
      </c>
      <c r="G51" s="37" t="s">
        <v>136</v>
      </c>
      <c r="H51" s="37" t="n">
        <v>5</v>
      </c>
      <c r="I51" s="37"/>
      <c r="J51" s="37" t="s">
        <v>99</v>
      </c>
      <c r="K51" s="37" t="s">
        <v>83</v>
      </c>
      <c r="L51" s="37" t="s">
        <v>478</v>
      </c>
      <c r="M51" s="37" t="s">
        <v>858</v>
      </c>
      <c r="N51" s="37" t="s">
        <v>779</v>
      </c>
    </row>
    <row r="52" customFormat="false" ht="12.75" hidden="false" customHeight="true" outlineLevel="0" collapsed="false">
      <c r="A52" s="37" t="n">
        <v>51</v>
      </c>
      <c r="B52" s="37" t="s">
        <v>342</v>
      </c>
      <c r="C52" s="37" t="s">
        <v>749</v>
      </c>
      <c r="D52" s="37" t="s">
        <v>859</v>
      </c>
      <c r="E52" s="38" t="s">
        <v>860</v>
      </c>
      <c r="F52" s="37" t="s">
        <v>308</v>
      </c>
      <c r="G52" s="37" t="s">
        <v>156</v>
      </c>
      <c r="H52" s="37" t="n">
        <v>5</v>
      </c>
      <c r="I52" s="37"/>
      <c r="J52" s="37" t="s">
        <v>99</v>
      </c>
      <c r="K52" s="37" t="s">
        <v>87</v>
      </c>
      <c r="L52" s="37" t="s">
        <v>478</v>
      </c>
      <c r="M52" s="37" t="s">
        <v>839</v>
      </c>
      <c r="N52" s="37" t="s">
        <v>861</v>
      </c>
    </row>
    <row r="53" customFormat="false" ht="12.75" hidden="false" customHeight="true" outlineLevel="0" collapsed="false">
      <c r="A53" s="37" t="n">
        <v>52</v>
      </c>
      <c r="B53" s="37" t="s">
        <v>346</v>
      </c>
      <c r="C53" s="37" t="s">
        <v>749</v>
      </c>
      <c r="D53" s="37" t="s">
        <v>862</v>
      </c>
      <c r="E53" s="38" t="s">
        <v>863</v>
      </c>
      <c r="F53" s="37" t="s">
        <v>308</v>
      </c>
      <c r="G53" s="37" t="s">
        <v>136</v>
      </c>
      <c r="H53" s="37" t="n">
        <v>8</v>
      </c>
      <c r="I53" s="37"/>
      <c r="J53" s="37" t="s">
        <v>99</v>
      </c>
      <c r="K53" s="37" t="s">
        <v>95</v>
      </c>
      <c r="L53" s="37" t="s">
        <v>478</v>
      </c>
      <c r="M53" s="37" t="s">
        <v>850</v>
      </c>
      <c r="N53" s="37" t="s">
        <v>823</v>
      </c>
    </row>
    <row r="54" customFormat="false" ht="12.75" hidden="false" customHeight="true" outlineLevel="0" collapsed="false">
      <c r="A54" s="37" t="n">
        <v>53</v>
      </c>
      <c r="B54" s="37" t="s">
        <v>350</v>
      </c>
      <c r="C54" s="37" t="s">
        <v>749</v>
      </c>
      <c r="D54" s="37" t="s">
        <v>864</v>
      </c>
      <c r="E54" s="38" t="s">
        <v>865</v>
      </c>
      <c r="F54" s="37" t="s">
        <v>104</v>
      </c>
      <c r="G54" s="37" t="s">
        <v>136</v>
      </c>
      <c r="H54" s="37" t="n">
        <v>5</v>
      </c>
      <c r="I54" s="37"/>
      <c r="J54" s="37" t="s">
        <v>103</v>
      </c>
      <c r="K54" s="37" t="s">
        <v>83</v>
      </c>
      <c r="L54" s="37" t="s">
        <v>478</v>
      </c>
      <c r="M54" s="37" t="s">
        <v>858</v>
      </c>
      <c r="N54" s="37" t="s">
        <v>771</v>
      </c>
    </row>
    <row r="55" customFormat="false" ht="12.75" hidden="false" customHeight="true" outlineLevel="0" collapsed="false">
      <c r="A55" s="37" t="n">
        <v>54</v>
      </c>
      <c r="B55" s="37" t="s">
        <v>355</v>
      </c>
      <c r="C55" s="37" t="s">
        <v>749</v>
      </c>
      <c r="D55" s="37" t="s">
        <v>866</v>
      </c>
      <c r="E55" s="38" t="s">
        <v>867</v>
      </c>
      <c r="F55" s="37" t="s">
        <v>104</v>
      </c>
      <c r="G55" s="37" t="s">
        <v>136</v>
      </c>
      <c r="H55" s="37" t="n">
        <v>8</v>
      </c>
      <c r="I55" s="37"/>
      <c r="J55" s="37" t="s">
        <v>103</v>
      </c>
      <c r="K55" s="37" t="s">
        <v>83</v>
      </c>
      <c r="L55" s="37" t="s">
        <v>478</v>
      </c>
      <c r="M55" s="37" t="s">
        <v>858</v>
      </c>
      <c r="N55" s="37" t="s">
        <v>771</v>
      </c>
    </row>
    <row r="56" customFormat="false" ht="12.75" hidden="false" customHeight="true" outlineLevel="0" collapsed="false">
      <c r="A56" s="37" t="n">
        <v>55</v>
      </c>
      <c r="B56" s="37" t="s">
        <v>359</v>
      </c>
      <c r="C56" s="37" t="s">
        <v>749</v>
      </c>
      <c r="D56" s="37" t="s">
        <v>868</v>
      </c>
      <c r="E56" s="38" t="s">
        <v>869</v>
      </c>
      <c r="F56" s="37" t="s">
        <v>104</v>
      </c>
      <c r="G56" s="37" t="s">
        <v>176</v>
      </c>
      <c r="H56" s="37" t="n">
        <v>5</v>
      </c>
      <c r="I56" s="37"/>
      <c r="J56" s="37" t="s">
        <v>103</v>
      </c>
      <c r="K56" s="37" t="s">
        <v>83</v>
      </c>
      <c r="L56" s="37" t="s">
        <v>478</v>
      </c>
      <c r="M56" s="37" t="s">
        <v>858</v>
      </c>
      <c r="N56" s="37" t="s">
        <v>870</v>
      </c>
    </row>
    <row r="57" customFormat="false" ht="12.75" hidden="false" customHeight="true" outlineLevel="0" collapsed="false">
      <c r="A57" s="37" t="n">
        <v>56</v>
      </c>
      <c r="B57" s="37" t="s">
        <v>363</v>
      </c>
      <c r="C57" s="37" t="s">
        <v>749</v>
      </c>
      <c r="D57" s="37" t="s">
        <v>871</v>
      </c>
      <c r="E57" s="38" t="s">
        <v>872</v>
      </c>
      <c r="F57" s="37" t="s">
        <v>104</v>
      </c>
      <c r="G57" s="37" t="s">
        <v>176</v>
      </c>
      <c r="H57" s="37" t="n">
        <v>5</v>
      </c>
      <c r="I57" s="37"/>
      <c r="J57" s="37" t="s">
        <v>103</v>
      </c>
      <c r="K57" s="37" t="s">
        <v>83</v>
      </c>
      <c r="L57" s="37" t="s">
        <v>478</v>
      </c>
      <c r="M57" s="37" t="s">
        <v>858</v>
      </c>
      <c r="N57" s="37" t="s">
        <v>776</v>
      </c>
    </row>
    <row r="58" customFormat="false" ht="12.75" hidden="false" customHeight="true" outlineLevel="0" collapsed="false">
      <c r="A58" s="37" t="n">
        <v>57</v>
      </c>
      <c r="B58" s="37" t="s">
        <v>366</v>
      </c>
      <c r="C58" s="37" t="s">
        <v>749</v>
      </c>
      <c r="D58" s="37" t="s">
        <v>873</v>
      </c>
      <c r="E58" s="38" t="s">
        <v>874</v>
      </c>
      <c r="F58" s="37" t="s">
        <v>104</v>
      </c>
      <c r="G58" s="37" t="s">
        <v>136</v>
      </c>
      <c r="H58" s="37" t="n">
        <v>8</v>
      </c>
      <c r="I58" s="37"/>
      <c r="J58" s="37" t="s">
        <v>103</v>
      </c>
      <c r="K58" s="37" t="s">
        <v>83</v>
      </c>
      <c r="L58" s="37" t="s">
        <v>478</v>
      </c>
      <c r="M58" s="37" t="s">
        <v>858</v>
      </c>
      <c r="N58" s="37" t="s">
        <v>779</v>
      </c>
    </row>
    <row r="59" customFormat="false" ht="12.75" hidden="false" customHeight="true" outlineLevel="0" collapsed="false">
      <c r="A59" s="37" t="n">
        <v>58</v>
      </c>
      <c r="B59" s="37" t="s">
        <v>370</v>
      </c>
      <c r="C59" s="37" t="s">
        <v>749</v>
      </c>
      <c r="D59" s="37" t="s">
        <v>875</v>
      </c>
      <c r="E59" s="38" t="s">
        <v>876</v>
      </c>
      <c r="F59" s="37" t="s">
        <v>104</v>
      </c>
      <c r="G59" s="37" t="s">
        <v>156</v>
      </c>
      <c r="H59" s="37" t="n">
        <v>5</v>
      </c>
      <c r="I59" s="37"/>
      <c r="J59" s="37" t="s">
        <v>103</v>
      </c>
      <c r="K59" s="37" t="s">
        <v>83</v>
      </c>
      <c r="L59" s="37" t="s">
        <v>478</v>
      </c>
      <c r="M59" s="37" t="s">
        <v>858</v>
      </c>
      <c r="N59" s="37" t="s">
        <v>877</v>
      </c>
    </row>
    <row r="60" customFormat="false" ht="12.75" hidden="false" customHeight="true" outlineLevel="0" collapsed="false">
      <c r="A60" s="37" t="n">
        <v>59</v>
      </c>
      <c r="B60" s="37" t="s">
        <v>375</v>
      </c>
      <c r="C60" s="37" t="s">
        <v>749</v>
      </c>
      <c r="D60" s="37" t="s">
        <v>878</v>
      </c>
      <c r="E60" s="38" t="s">
        <v>879</v>
      </c>
      <c r="F60" s="37" t="s">
        <v>104</v>
      </c>
      <c r="G60" s="37" t="s">
        <v>156</v>
      </c>
      <c r="H60" s="37" t="n">
        <v>5</v>
      </c>
      <c r="I60" s="37"/>
      <c r="J60" s="37" t="s">
        <v>103</v>
      </c>
      <c r="K60" s="37" t="s">
        <v>79</v>
      </c>
      <c r="L60" s="37" t="s">
        <v>478</v>
      </c>
      <c r="M60" s="37" t="s">
        <v>880</v>
      </c>
      <c r="N60" s="37" t="s">
        <v>881</v>
      </c>
    </row>
    <row r="61" customFormat="false" ht="12.75" hidden="false" customHeight="true" outlineLevel="0" collapsed="false">
      <c r="A61" s="37" t="n">
        <v>60</v>
      </c>
      <c r="B61" s="37" t="s">
        <v>379</v>
      </c>
      <c r="C61" s="37" t="s">
        <v>749</v>
      </c>
      <c r="D61" s="37" t="s">
        <v>882</v>
      </c>
      <c r="E61" s="38" t="s">
        <v>883</v>
      </c>
      <c r="F61" s="37" t="s">
        <v>380</v>
      </c>
      <c r="G61" s="37" t="s">
        <v>176</v>
      </c>
      <c r="H61" s="37" t="n">
        <v>5</v>
      </c>
      <c r="I61" s="37"/>
      <c r="J61" s="37" t="s">
        <v>107</v>
      </c>
      <c r="K61" s="37" t="s">
        <v>87</v>
      </c>
      <c r="L61" s="37" t="s">
        <v>478</v>
      </c>
      <c r="M61" s="37" t="s">
        <v>839</v>
      </c>
      <c r="N61" s="37" t="s">
        <v>884</v>
      </c>
    </row>
    <row r="62" customFormat="false" ht="12.75" hidden="false" customHeight="true" outlineLevel="0" collapsed="false">
      <c r="A62" s="37" t="n">
        <v>61</v>
      </c>
      <c r="B62" s="37" t="s">
        <v>384</v>
      </c>
      <c r="C62" s="37" t="s">
        <v>749</v>
      </c>
      <c r="D62" s="37" t="s">
        <v>885</v>
      </c>
      <c r="E62" s="38" t="s">
        <v>886</v>
      </c>
      <c r="F62" s="37" t="s">
        <v>380</v>
      </c>
      <c r="G62" s="37" t="s">
        <v>136</v>
      </c>
      <c r="H62" s="37" t="n">
        <v>8</v>
      </c>
      <c r="I62" s="37"/>
      <c r="J62" s="37" t="s">
        <v>107</v>
      </c>
      <c r="K62" s="37" t="s">
        <v>87</v>
      </c>
      <c r="L62" s="37" t="s">
        <v>478</v>
      </c>
      <c r="M62" s="37" t="s">
        <v>839</v>
      </c>
      <c r="N62" s="37" t="s">
        <v>795</v>
      </c>
    </row>
    <row r="63" customFormat="false" ht="12.75" hidden="false" customHeight="true" outlineLevel="0" collapsed="false">
      <c r="A63" s="37" t="n">
        <v>62</v>
      </c>
      <c r="B63" s="37" t="s">
        <v>388</v>
      </c>
      <c r="C63" s="37" t="s">
        <v>749</v>
      </c>
      <c r="D63" s="37" t="s">
        <v>887</v>
      </c>
      <c r="E63" s="38" t="s">
        <v>888</v>
      </c>
      <c r="F63" s="37" t="s">
        <v>380</v>
      </c>
      <c r="G63" s="37" t="s">
        <v>136</v>
      </c>
      <c r="H63" s="37" t="n">
        <v>3</v>
      </c>
      <c r="I63" s="37"/>
      <c r="J63" s="37" t="s">
        <v>107</v>
      </c>
      <c r="K63" s="37" t="s">
        <v>95</v>
      </c>
      <c r="L63" s="37" t="s">
        <v>478</v>
      </c>
      <c r="M63" s="37" t="s">
        <v>850</v>
      </c>
      <c r="N63" s="37" t="s">
        <v>818</v>
      </c>
    </row>
    <row r="64" customFormat="false" ht="12.75" hidden="false" customHeight="true" outlineLevel="0" collapsed="false">
      <c r="A64" s="37" t="n">
        <v>63</v>
      </c>
      <c r="B64" s="37" t="s">
        <v>392</v>
      </c>
      <c r="C64" s="37" t="s">
        <v>749</v>
      </c>
      <c r="D64" s="37" t="s">
        <v>889</v>
      </c>
      <c r="E64" s="38" t="s">
        <v>890</v>
      </c>
      <c r="F64" s="37" t="s">
        <v>380</v>
      </c>
      <c r="G64" s="37" t="s">
        <v>156</v>
      </c>
      <c r="H64" s="37" t="n">
        <v>3</v>
      </c>
      <c r="I64" s="37"/>
      <c r="J64" s="37" t="s">
        <v>107</v>
      </c>
      <c r="K64" s="37" t="s">
        <v>91</v>
      </c>
      <c r="L64" s="37" t="s">
        <v>478</v>
      </c>
      <c r="M64" s="37" t="s">
        <v>891</v>
      </c>
      <c r="N64" s="37" t="s">
        <v>892</v>
      </c>
    </row>
    <row r="65" customFormat="false" ht="12.75" hidden="false" customHeight="true" outlineLevel="0" collapsed="false">
      <c r="A65" s="37" t="n">
        <v>64</v>
      </c>
      <c r="B65" s="37" t="s">
        <v>396</v>
      </c>
      <c r="C65" s="37" t="s">
        <v>749</v>
      </c>
      <c r="D65" s="37" t="s">
        <v>893</v>
      </c>
      <c r="E65" s="38" t="s">
        <v>894</v>
      </c>
      <c r="F65" s="37" t="s">
        <v>380</v>
      </c>
      <c r="G65" s="37" t="s">
        <v>156</v>
      </c>
      <c r="H65" s="37" t="n">
        <v>5</v>
      </c>
      <c r="I65" s="37"/>
      <c r="J65" s="37" t="s">
        <v>107</v>
      </c>
      <c r="K65" s="37" t="s">
        <v>95</v>
      </c>
      <c r="L65" s="37" t="s">
        <v>478</v>
      </c>
      <c r="M65" s="37" t="s">
        <v>850</v>
      </c>
      <c r="N65" s="37" t="s">
        <v>895</v>
      </c>
    </row>
    <row r="66" customFormat="false" ht="12.75" hidden="false" customHeight="true" outlineLevel="0" collapsed="false">
      <c r="A66" s="37" t="n">
        <v>65</v>
      </c>
      <c r="B66" s="37" t="s">
        <v>400</v>
      </c>
      <c r="C66" s="37" t="s">
        <v>749</v>
      </c>
      <c r="D66" s="37" t="s">
        <v>896</v>
      </c>
      <c r="E66" s="38" t="s">
        <v>897</v>
      </c>
      <c r="F66" s="37" t="s">
        <v>380</v>
      </c>
      <c r="G66" s="37" t="s">
        <v>136</v>
      </c>
      <c r="H66" s="37" t="n">
        <v>8</v>
      </c>
      <c r="I66" s="37"/>
      <c r="J66" s="37" t="s">
        <v>107</v>
      </c>
      <c r="K66" s="37" t="s">
        <v>91</v>
      </c>
      <c r="L66" s="37" t="s">
        <v>478</v>
      </c>
      <c r="M66" s="37" t="s">
        <v>891</v>
      </c>
      <c r="N66" s="37" t="s">
        <v>898</v>
      </c>
    </row>
    <row r="67" customFormat="false" ht="12.75" hidden="false" customHeight="true" outlineLevel="0" collapsed="false">
      <c r="A67" s="37" t="n">
        <v>66</v>
      </c>
      <c r="B67" s="37" t="s">
        <v>405</v>
      </c>
      <c r="C67" s="37" t="s">
        <v>749</v>
      </c>
      <c r="D67" s="37" t="s">
        <v>899</v>
      </c>
      <c r="E67" s="38" t="s">
        <v>900</v>
      </c>
      <c r="F67" s="37" t="s">
        <v>308</v>
      </c>
      <c r="G67" s="37" t="s">
        <v>136</v>
      </c>
      <c r="H67" s="37" t="n">
        <v>8</v>
      </c>
      <c r="I67" s="37"/>
      <c r="J67" s="37" t="s">
        <v>107</v>
      </c>
      <c r="K67" s="37" t="s">
        <v>91</v>
      </c>
      <c r="L67" s="37" t="s">
        <v>478</v>
      </c>
      <c r="M67" s="37" t="s">
        <v>891</v>
      </c>
      <c r="N67" s="37" t="s">
        <v>901</v>
      </c>
    </row>
    <row r="68" customFormat="false" ht="12.75" hidden="false" customHeight="true" outlineLevel="0" collapsed="false">
      <c r="A68" s="37" t="n">
        <v>67</v>
      </c>
      <c r="B68" s="37" t="s">
        <v>409</v>
      </c>
      <c r="C68" s="37" t="s">
        <v>749</v>
      </c>
      <c r="D68" s="37" t="s">
        <v>902</v>
      </c>
      <c r="E68" s="38" t="s">
        <v>903</v>
      </c>
      <c r="F68" s="37" t="s">
        <v>410</v>
      </c>
      <c r="G68" s="37" t="s">
        <v>176</v>
      </c>
      <c r="H68" s="37" t="n">
        <v>8</v>
      </c>
      <c r="I68" s="37"/>
      <c r="J68" s="37" t="s">
        <v>111</v>
      </c>
      <c r="K68" s="37" t="s">
        <v>79</v>
      </c>
      <c r="L68" s="37" t="s">
        <v>478</v>
      </c>
      <c r="M68" s="37" t="s">
        <v>880</v>
      </c>
      <c r="N68" s="37" t="s">
        <v>904</v>
      </c>
    </row>
    <row r="69" customFormat="false" ht="12.75" hidden="false" customHeight="true" outlineLevel="0" collapsed="false">
      <c r="A69" s="37" t="n">
        <v>68</v>
      </c>
      <c r="B69" s="37" t="s">
        <v>415</v>
      </c>
      <c r="C69" s="37" t="s">
        <v>749</v>
      </c>
      <c r="D69" s="37" t="s">
        <v>905</v>
      </c>
      <c r="E69" s="38" t="s">
        <v>906</v>
      </c>
      <c r="F69" s="37" t="s">
        <v>410</v>
      </c>
      <c r="G69" s="37" t="s">
        <v>136</v>
      </c>
      <c r="H69" s="37" t="n">
        <v>5</v>
      </c>
      <c r="I69" s="37"/>
      <c r="J69" s="37" t="s">
        <v>111</v>
      </c>
      <c r="K69" s="37" t="s">
        <v>87</v>
      </c>
      <c r="L69" s="37" t="s">
        <v>478</v>
      </c>
      <c r="M69" s="37" t="s">
        <v>839</v>
      </c>
      <c r="N69" s="37" t="s">
        <v>787</v>
      </c>
    </row>
    <row r="70" customFormat="false" ht="12.75" hidden="false" customHeight="true" outlineLevel="0" collapsed="false">
      <c r="A70" s="37" t="n">
        <v>69</v>
      </c>
      <c r="B70" s="37" t="s">
        <v>419</v>
      </c>
      <c r="C70" s="37" t="s">
        <v>749</v>
      </c>
      <c r="D70" s="37" t="s">
        <v>907</v>
      </c>
      <c r="E70" s="38" t="s">
        <v>908</v>
      </c>
      <c r="F70" s="37" t="s">
        <v>410</v>
      </c>
      <c r="G70" s="37" t="s">
        <v>176</v>
      </c>
      <c r="H70" s="37" t="n">
        <v>8</v>
      </c>
      <c r="I70" s="37"/>
      <c r="J70" s="37" t="s">
        <v>111</v>
      </c>
      <c r="K70" s="37" t="s">
        <v>87</v>
      </c>
      <c r="L70" s="37" t="s">
        <v>478</v>
      </c>
      <c r="M70" s="37" t="s">
        <v>839</v>
      </c>
      <c r="N70" s="37" t="s">
        <v>909</v>
      </c>
    </row>
    <row r="71" customFormat="false" ht="12.75" hidden="false" customHeight="true" outlineLevel="0" collapsed="false">
      <c r="A71" s="37" t="n">
        <v>70</v>
      </c>
      <c r="B71" s="37" t="s">
        <v>424</v>
      </c>
      <c r="C71" s="37" t="s">
        <v>749</v>
      </c>
      <c r="D71" s="37" t="s">
        <v>910</v>
      </c>
      <c r="E71" s="38" t="s">
        <v>911</v>
      </c>
      <c r="F71" s="37" t="s">
        <v>410</v>
      </c>
      <c r="G71" s="37" t="s">
        <v>176</v>
      </c>
      <c r="H71" s="37" t="n">
        <v>8</v>
      </c>
      <c r="I71" s="37"/>
      <c r="J71" s="37" t="s">
        <v>111</v>
      </c>
      <c r="K71" s="37" t="s">
        <v>87</v>
      </c>
      <c r="L71" s="37" t="s">
        <v>478</v>
      </c>
      <c r="M71" s="37" t="s">
        <v>839</v>
      </c>
      <c r="N71" s="37" t="s">
        <v>826</v>
      </c>
    </row>
    <row r="72" customFormat="false" ht="12.75" hidden="false" customHeight="true" outlineLevel="0" collapsed="false">
      <c r="A72" s="37" t="n">
        <v>71</v>
      </c>
      <c r="B72" s="37" t="s">
        <v>428</v>
      </c>
      <c r="C72" s="37" t="s">
        <v>749</v>
      </c>
      <c r="D72" s="37" t="s">
        <v>912</v>
      </c>
      <c r="E72" s="38" t="s">
        <v>913</v>
      </c>
      <c r="F72" s="37" t="s">
        <v>410</v>
      </c>
      <c r="G72" s="37" t="s">
        <v>136</v>
      </c>
      <c r="H72" s="37" t="n">
        <v>5</v>
      </c>
      <c r="I72" s="37"/>
      <c r="J72" s="37" t="s">
        <v>111</v>
      </c>
      <c r="K72" s="37" t="s">
        <v>91</v>
      </c>
      <c r="L72" s="37" t="s">
        <v>478</v>
      </c>
      <c r="M72" s="37" t="s">
        <v>891</v>
      </c>
      <c r="N72" s="37" t="s">
        <v>892</v>
      </c>
    </row>
    <row r="73" customFormat="false" ht="12.75" hidden="false" customHeight="true" outlineLevel="0" collapsed="false">
      <c r="A73" s="37" t="n">
        <v>72</v>
      </c>
      <c r="B73" s="37" t="s">
        <v>432</v>
      </c>
      <c r="C73" s="37" t="s">
        <v>749</v>
      </c>
      <c r="D73" s="37" t="s">
        <v>914</v>
      </c>
      <c r="E73" s="38" t="s">
        <v>915</v>
      </c>
      <c r="F73" s="37" t="s">
        <v>410</v>
      </c>
      <c r="G73" s="37" t="s">
        <v>176</v>
      </c>
      <c r="H73" s="37" t="n">
        <v>8</v>
      </c>
      <c r="I73" s="37"/>
      <c r="J73" s="37" t="s">
        <v>111</v>
      </c>
      <c r="K73" s="37" t="s">
        <v>95</v>
      </c>
      <c r="L73" s="37" t="s">
        <v>478</v>
      </c>
      <c r="M73" s="37" t="s">
        <v>850</v>
      </c>
      <c r="N73" s="37" t="s">
        <v>916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2026-09-04T23:58:17Z</dcterms:created>
  <dc:creator>openpyxl</dc:creator>
  <dc:description/>
  <dc:language>en-US</dc:language>
  <cp:lastModifiedBy/>
  <dcterms:modified xsi:type="dcterms:W3CDTF">2026-09-04T23:58:17Z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