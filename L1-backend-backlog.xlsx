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Modules" sheetId="2" state="visible" r:id="rId4"/>
    <sheet name="Epics" sheetId="3" state="visible" r:id="rId5"/>
    <sheet name="Backlog" sheetId="4" state="visible" r:id="rId6"/>
    <sheet name="Delivery Plan" sheetId="5" state="visible" r:id="rId7"/>
    <sheet name="Dependencies" sheetId="6" state="visible" r:id="rId8"/>
    <sheet name="API Delivery" sheetId="7" state="visible" r:id="rId9"/>
    <sheet name="Data Model" sheetId="8" state="visible" r:id="rId10"/>
    <sheet name="Events" sheetId="9" state="visible" r:id="rId11"/>
    <sheet name="Conventions" sheetId="10" state="visible" r:id="rId12"/>
    <sheet name="Error Codes" sheetId="11" state="visible" r:id="rId13"/>
    <sheet name="Business Rules" sheetId="12" state="visible" r:id="rId14"/>
    <sheet name="Risks" sheetId="13" state="visible" r:id="rId15"/>
    <sheet name="Jira Import" sheetId="14" state="visible" r:id="rId16"/>
  </sheets>
  <definedNames>
    <definedName function="false" hidden="false" localSheetId="6" name="_xlnm.Print_Titles" vbProcedure="false">'API Delivery'!$1:$1</definedName>
    <definedName function="false" hidden="true" localSheetId="6" name="_xlnm._FilterDatabase" vbProcedure="false">'API Delivery'!$A$1:$G$76</definedName>
    <definedName function="false" hidden="false" localSheetId="3" name="_xlnm.Print_Titles" vbProcedure="false">Backlog!$1:$1</definedName>
    <definedName function="false" hidden="true" localSheetId="3" name="_xlnm._FilterDatabase" vbProcedure="false">Backlog!$A$1:$P$98</definedName>
    <definedName function="false" hidden="false" localSheetId="11" name="_xlnm.Print_Titles" vbProcedure="false">'Business Rules'!$1:$1</definedName>
    <definedName function="false" hidden="false" localSheetId="9" name="_xlnm.Print_Titles" vbProcedure="false">Conventions!$1:$1</definedName>
    <definedName function="false" hidden="false" localSheetId="7" name="_xlnm.Print_Titles" vbProcedure="false">'Data Model'!$1:$1</definedName>
    <definedName function="false" hidden="false" localSheetId="5" name="_xlnm.Print_Titles" vbProcedure="false">Dependencies!$1:$1</definedName>
    <definedName function="false" hidden="true" localSheetId="5" name="_xlnm._FilterDatabase" vbProcedure="false">Dependencies!$A$1:$I$130</definedName>
    <definedName function="false" hidden="false" localSheetId="2" name="_xlnm.Print_Titles" vbProcedure="false">Epics!$1:$1</definedName>
    <definedName function="false" hidden="false" localSheetId="10" name="_xlnm.Print_Titles" vbProcedure="false">'Error Codes'!$1:$1</definedName>
    <definedName function="false" hidden="false" localSheetId="8" name="_xlnm.Print_Titles" vbProcedure="false">Events!$1:$1</definedName>
    <definedName function="false" hidden="false" localSheetId="13" name="_xlnm.Print_Titles" vbProcedure="false">'Jira Import'!$1:$1</definedName>
    <definedName function="false" hidden="false" localSheetId="1" name="_xlnm.Print_Titles" vbProcedure="false">Modules!$1:$1</definedName>
    <definedName function="false" hidden="false" localSheetId="12" name="_xlnm.Print_Titles" vbProcedure="false">Risks!$1:$1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<sst xmlns="http://schemas.openxmlformats.org/spreadsheetml/2006/main" count="5013" uniqueCount="1383">
  <si>
    <t xml:space="preserve">Layer 1 backend — complete project workbook</t>
  </si>
  <si>
    <t xml:space="preserve">Laravel 11 modular monolith. Layer 1 delivers the six Foundation modules that unblock all 119 frontend issues. Sources: DOC-10 (module architecture), DOC-02 (technical architecture and sprint plan), DOC-01 (business rules), DOC-06 (integration requirements).</t>
  </si>
  <si>
    <t xml:space="preserve">Contents</t>
  </si>
  <si>
    <t xml:space="preserve">Modules</t>
  </si>
  <si>
    <t xml:space="preserve">All 22 modules across the four layers, with the six that are in scope for Layer 1 flagged.</t>
  </si>
  <si>
    <t xml:space="preserve">Epics</t>
  </si>
  <si>
    <t xml:space="preserve">The eight backend epics with their volume and their backend sprint gate.</t>
  </si>
  <si>
    <t xml:space="preserve">Backlog</t>
  </si>
  <si>
    <t xml:space="preserve">Every backend issue with full requirements, acceptance criteria, tables, events and the frontend issues it unblocks.</t>
  </si>
  <si>
    <t xml:space="preserve">Delivery Plan</t>
  </si>
  <si>
    <t xml:space="preserve">Points and issue counts per sprint and module. All figures are live formulas over the Backlog sheet.</t>
  </si>
  <si>
    <t xml:space="preserve">Dependencies</t>
  </si>
  <si>
    <t xml:space="preserve">One row per blocking link between backend issues.</t>
  </si>
  <si>
    <t xml:space="preserve">API Delivery</t>
  </si>
  <si>
    <t xml:space="preserve">Every endpoint Layer 1 must ship, the backend issue that builds it, and the frontend issues waiting on it.</t>
  </si>
  <si>
    <t xml:space="preserve">Data Model</t>
  </si>
  <si>
    <t xml:space="preserve">The tables each Layer 1 module owns.</t>
  </si>
  <si>
    <t xml:space="preserve">Events</t>
  </si>
  <si>
    <t xml:space="preserve">Inter-module events, their emitter, their listeners and their effect.</t>
  </si>
  <si>
    <t xml:space="preserve">Conventions</t>
  </si>
  <si>
    <t xml:space="preserve">The binding conventions from DOC-10 §5 and the issue that enforces each one.</t>
  </si>
  <si>
    <t xml:space="preserve">Error Codes</t>
  </si>
  <si>
    <t xml:space="preserve">The HTTP status map and the internal error codes the frontend error map depends on.</t>
  </si>
  <si>
    <t xml:space="preserve">Business Rules</t>
  </si>
  <si>
    <t xml:space="preserve">BR-01…BR-20 and REQ-IN-01…08, with the owning module and the layer that enforces each.</t>
  </si>
  <si>
    <t xml:space="preserve">Risks</t>
  </si>
  <si>
    <t xml:space="preserve">Risk register with the backend issue that mitigates each risk.</t>
  </si>
  <si>
    <t xml:space="preserve">Jira Import</t>
  </si>
  <si>
    <t xml:space="preserve">Flat machine-readable sheet. Save this tab alone as CSV UTF-8 and import.</t>
  </si>
  <si>
    <t xml:space="preserve">Scope</t>
  </si>
  <si>
    <t xml:space="preserve">In scope</t>
  </si>
  <si>
    <t xml:space="preserve">The six Foundation modules: Core, Identity, Access, Reference, Tenancy, Integration — plus the SP-00 technical foundation and the quality gates.</t>
  </si>
  <si>
    <t xml:space="preserve">Out of scope</t>
  </si>
  <si>
    <t xml:space="preserve">The nine Domain modules and the seven Coordination modules. Catalog, Pricing, Promotion, Inventory, Ordering, Fulfillment, Delivery, Returns, Finance, Sync and Reporting all belong to Layers 2 and above.</t>
  </si>
  <si>
    <t xml:space="preserve">Why this boundary</t>
  </si>
  <si>
    <t xml:space="preserve">These six modules are exactly what the 119 frontend issues are gated on. Nothing above them can be built until identity, access, reference data and tenancy are real.</t>
  </si>
  <si>
    <t xml:space="preserve">Definition of done — applies to every issue</t>
  </si>
  <si>
    <t xml:space="preserve">1.</t>
  </si>
  <si>
    <t xml:space="preserve">Merged to main after peer review; Larastan level 6, Pint and Rector all pass.</t>
  </si>
  <si>
    <t xml:space="preserve">2.</t>
  </si>
  <si>
    <t xml:space="preserve">Unit and feature tests written and green; engines and money paths at 90%+, endpoints at 75%+.</t>
  </si>
  <si>
    <t xml:space="preserve">3.</t>
  </si>
  <si>
    <t xml:space="preserve">Deptrac and the Pest architecture suite pass — no cross-module model import, no float in a money path.</t>
  </si>
  <si>
    <t xml:space="preserve">4.</t>
  </si>
  <si>
    <t xml:space="preserve">Every write accepts X-Idempotency-Key unless it is on the documented exemption list.</t>
  </si>
  <si>
    <t xml:space="preserve">5.</t>
  </si>
  <si>
    <t xml:space="preserve">Every channel endpoint has an isolation test proving another channel receives 404.</t>
  </si>
  <si>
    <t xml:space="preserve">6.</t>
  </si>
  <si>
    <t xml:space="preserve">The endpoint declares its permission explicitly and returns the permission key on a 403.</t>
  </si>
  <si>
    <t xml:space="preserve">7.</t>
  </si>
  <si>
    <t xml:space="preserve">Errors follow the unified envelope and the HTTP status map; no raw Laravel payload escapes.</t>
  </si>
  <si>
    <t xml:space="preserve">8.</t>
  </si>
  <si>
    <t xml:space="preserve">Every financial, inventory or permission mutation writes an immutable audit entry.</t>
  </si>
  <si>
    <t xml:space="preserve">9.</t>
  </si>
  <si>
    <t xml:space="preserve">The OpenAPI document is regenerated and the typed client still builds.</t>
  </si>
  <si>
    <t xml:space="preserve">10.</t>
  </si>
  <si>
    <t xml:space="preserve">Deployed to the test environment and accepted by the product owner.</t>
  </si>
  <si>
    <t xml:space="preserve">Totals</t>
  </si>
  <si>
    <t xml:space="preserve">Backend issues</t>
  </si>
  <si>
    <t xml:space="preserve">Backend points</t>
  </si>
  <si>
    <t xml:space="preserve">Endpoints delivered</t>
  </si>
  <si>
    <t xml:space="preserve">Frontend issues unblocked</t>
  </si>
  <si>
    <t xml:space="preserve">59</t>
  </si>
  <si>
    <t xml:space="preserve">Blocking links</t>
  </si>
  <si>
    <t xml:space="preserve">#</t>
  </si>
  <si>
    <t xml:space="preserve">Module</t>
  </si>
  <si>
    <t xml:space="preserve">Layer</t>
  </si>
  <si>
    <t xml:space="preserve">In Layer 1</t>
  </si>
  <si>
    <t xml:space="preserve">Responsibility</t>
  </si>
  <si>
    <t xml:space="preserve">Key tables</t>
  </si>
  <si>
    <t xml:space="preserve">Core</t>
  </si>
  <si>
    <t xml:space="preserve">Foundation</t>
  </si>
  <si>
    <t xml:space="preserve">Yes</t>
  </si>
  <si>
    <t xml:space="preserve">Unified response envelope, error handler, idempotency, audit log, base classes, integer money</t>
  </si>
  <si>
    <t xml:space="preserve">audit_logs, idempotency_keys, approval_requests</t>
  </si>
  <si>
    <t xml:space="preserve">Identity</t>
  </si>
  <si>
    <t xml:space="preserve">The four guards, separate user tables, OTP, sessions, devices, session revocation</t>
  </si>
  <si>
    <t xml:space="preserve">platform_users, channel_users, warehouse_users, retailers, reps, otp_codes, devices, sessions</t>
  </si>
  <si>
    <t xml:space="preserve">Access</t>
  </si>
  <si>
    <t xml:space="preserve">The 170-permission catalog, roles, segregation of duties, temporary grants, periodic review, permission simulator</t>
  </si>
  <si>
    <t xml:space="preserve">permissions, roles, role_permission, sod_rules, temp_grants, access_reviews</t>
  </si>
  <si>
    <t xml:space="preserve">Reference</t>
  </si>
  <si>
    <t xml:space="preserve">Governorates, zones, activity types, root categories, sale units, equipment, currencies, FX rates</t>
  </si>
  <si>
    <t xml:space="preserve">governorates, zones, activity_types, root_categories, sale_units, equipments, currencies, fx_rates</t>
  </si>
  <si>
    <t xml:space="preserve">Tenancy</t>
  </si>
  <si>
    <t xml:space="preserve">Supply channels, provisioning, coverage, limits, plan binding, strict row-level isolation</t>
  </si>
  <si>
    <t xml:space="preserve">supply_channels, channel_zone, channel_limits, channel_features, provisioning_jobs</t>
  </si>
  <si>
    <t xml:space="preserve">Integration</t>
  </si>
  <si>
    <t xml:space="preserve">Provider adapters behind contracts: WhatsApp, SMS, maps, storage, notifications, error tracking</t>
  </si>
  <si>
    <t xml:space="preserve">integration_settings, integration_health</t>
  </si>
  <si>
    <t xml:space="preserve">Catalog</t>
  </si>
  <si>
    <t xml:space="preserve">Domain</t>
  </si>
  <si>
    <t xml:space="preserve">No</t>
  </si>
  <si>
    <t xml:space="preserve">Brands, five-level category tree, products, variants, media, import</t>
  </si>
  <si>
    <t xml:space="preserve">brands, categories, products, product_variants, product_media, product_zones, import_batches</t>
  </si>
  <si>
    <t xml:space="preserve">Pricing</t>
  </si>
  <si>
    <t xml:space="preserve">Pricing engine with five-rule precedence, tiers, zone / group / retailer prices, change log, price freeze</t>
  </si>
  <si>
    <t xml:space="preserve">price_lists, price_rules, qty_tiers, zone_prices, group_prices, retailer_prices, price_change_log</t>
  </si>
  <si>
    <t xml:space="preserve">Promotion</t>
  </si>
  <si>
    <t xml:space="preserve">Six offer types, targeting, time and quantity limits, cart evaluation, indivisibility</t>
  </si>
  <si>
    <t xml:space="preserve">offers, offer_rules, offer_targets, offer_rewards, offer_usages</t>
  </si>
  <si>
    <t xml:space="preserve">Inventory</t>
  </si>
  <si>
    <t xml:space="preserve">Warehouses, four balance states, movements, reservation, lots and expiry, stocktakes</t>
  </si>
  <si>
    <t xml:space="preserve">warehouses, stock_levels, stock_movements, reservations, lots, stocktakes</t>
  </si>
  <si>
    <t xml:space="preserve">Loyalty</t>
  </si>
  <si>
    <t xml:space="preserve">Point rules, tiers, rewards, redemption</t>
  </si>
  <si>
    <t xml:space="preserve">loyalty_rules, loyalty_points, loyalty_tiers, rewards, redemptions</t>
  </si>
  <si>
    <t xml:space="preserve">Content</t>
  </si>
  <si>
    <t xml:space="preserve">Intro, banners, sliders and algorithms, legal pages, app versions</t>
  </si>
  <si>
    <t xml:space="preserve">intros, banners, sliders, slider_items, legal_pages, app_versions</t>
  </si>
  <si>
    <t xml:space="preserve">Notification</t>
  </si>
  <si>
    <t xml:space="preserve">Templates, targeting, campaigns, scheduling, delivery log, three channels</t>
  </si>
  <si>
    <t xml:space="preserve">notification_templates, notifications, notification_targets, delivery_log</t>
  </si>
  <si>
    <t xml:space="preserve">Support</t>
  </si>
  <si>
    <t xml:space="preserve">Tickets, unified search, the 360 card, session impersonation</t>
  </si>
  <si>
    <t xml:space="preserve">tickets, ticket_events, impersonation_grants</t>
  </si>
  <si>
    <t xml:space="preserve">PlatformBilling</t>
  </si>
  <si>
    <t xml:space="preserve">Platform plans, channel subscriptions, platform invoices, dunning</t>
  </si>
  <si>
    <t xml:space="preserve">plans, subscriptions, platform_invoices, dunning_events</t>
  </si>
  <si>
    <t xml:space="preserve">Ordering</t>
  </si>
  <si>
    <t xml:space="preserve">Coordination</t>
  </si>
  <si>
    <t xml:space="preserve">Cart, order, multi-channel split, sub-orders, state machine, assignment, scheduling</t>
  </si>
  <si>
    <t xml:space="preserve">carts, cart_lines, orders, sub_orders, order_lines, order_events, assignments, scheduled_orders</t>
  </si>
  <si>
    <t xml:space="preserve">Fulfillment</t>
  </si>
  <si>
    <t xml:space="preserve">Picking lists, packing, handover with dual confirmation, rep return, inbound receipt</t>
  </si>
  <si>
    <t xml:space="preserve">picking_lists, picking_lines, packages, handovers, handover_confirmations, inbound_receipts</t>
  </si>
  <si>
    <t xml:space="preserve">Delivery</t>
  </si>
  <si>
    <t xml:space="preserve">Rep-to-retailer delivery, line matching, postponement, tracking, location pings</t>
  </si>
  <si>
    <t xml:space="preserve">deliveries, delivery_lines, delivery_events, rep_locations, rep_shifts</t>
  </si>
  <si>
    <t xml:space="preserve">Returns</t>
  </si>
  <si>
    <t xml:space="preserve">Return and exchange requests from both apps, channel decision, warehouse sorting</t>
  </si>
  <si>
    <t xml:space="preserve">return_requests, return_lines, return_decisions</t>
  </si>
  <si>
    <t xml:space="preserve">Finance</t>
  </si>
  <si>
    <t xml:space="preserve">Invoices, payments with unique receipt, receivables, rep wallets, settlements, statements, ageing</t>
  </si>
  <si>
    <t xml:space="preserve">invoices, invoice_lines, credit_notes, payments, receipts, receivables, rep_wallets, wallet_transactions, settlements</t>
  </si>
  <si>
    <t xml:space="preserve">Sync</t>
  </si>
  <si>
    <t xml:space="preserve">Outbox intake, duplicate prevention, differential sync, conflict resolution, sync state</t>
  </si>
  <si>
    <t xml:space="preserve">sync_cursors, sync_operations, sync_conflicts</t>
  </si>
  <si>
    <t xml:space="preserve">Reporting</t>
  </si>
  <si>
    <t xml:space="preserve">Daily snapshots, dashboards, reports, background export</t>
  </si>
  <si>
    <t xml:space="preserve">daily_snapshots, report_jobs, report_exports</t>
  </si>
  <si>
    <t xml:space="preserve">Epic key</t>
  </si>
  <si>
    <t xml:space="preserve">Epic name</t>
  </si>
  <si>
    <t xml:space="preserve">Covers</t>
  </si>
  <si>
    <t xml:space="preserve">Issues</t>
  </si>
  <si>
    <t xml:space="preserve">Points</t>
  </si>
  <si>
    <t xml:space="preserve">Sprint gates</t>
  </si>
  <si>
    <t xml:space="preserve">EP-BE-F</t>
  </si>
  <si>
    <t xml:space="preserve">SP-00 Technical foundation</t>
  </si>
  <si>
    <t xml:space="preserve">Repository, modules, Deptrac, CI, environments, OpenAPI, queues, health</t>
  </si>
  <si>
    <t xml:space="preserve">SP-00</t>
  </si>
  <si>
    <t xml:space="preserve">EP-BE-C</t>
  </si>
  <si>
    <t xml:space="preserve">Core module</t>
  </si>
  <si>
    <t xml:space="preserve">Envelope, error map, idempotency, audit, approvals, money, state machine base</t>
  </si>
  <si>
    <t xml:space="preserve">EP-BE-I</t>
  </si>
  <si>
    <t xml:space="preserve">Identity module</t>
  </si>
  <si>
    <t xml:space="preserve">Four guards, OTP, registration, sessions, devices, 2FA, API tokens</t>
  </si>
  <si>
    <t xml:space="preserve">SP-01, SP-04</t>
  </si>
  <si>
    <t xml:space="preserve">EP-BE-A</t>
  </si>
  <si>
    <t xml:space="preserve">Access module</t>
  </si>
  <si>
    <t xml:space="preserve">Permission catalog, roles, SoD, assignments, simulator, temp grants, audit, reviews</t>
  </si>
  <si>
    <t xml:space="preserve">SP-02</t>
  </si>
  <si>
    <t xml:space="preserve">EP-BE-R</t>
  </si>
  <si>
    <t xml:space="preserve">Reference module</t>
  </si>
  <si>
    <t xml:space="preserve">Seven reference entities, FX rates, public refs, import</t>
  </si>
  <si>
    <t xml:space="preserve">SP-03</t>
  </si>
  <si>
    <t xml:space="preserve">EP-BE-T</t>
  </si>
  <si>
    <t xml:space="preserve">Tenancy module</t>
  </si>
  <si>
    <t xml:space="preserve">Channels, provisioning, coverage, limits, isolation, applications</t>
  </si>
  <si>
    <t xml:space="preserve">SP-04</t>
  </si>
  <si>
    <t xml:space="preserve">EP-BE-X</t>
  </si>
  <si>
    <t xml:space="preserve">Integration module</t>
  </si>
  <si>
    <t xml:space="preserve">WhatsApp, SMS fallback, storage, error tracking behind contracts</t>
  </si>
  <si>
    <t xml:space="preserve">SP-00, SP-01</t>
  </si>
  <si>
    <t xml:space="preserve">EP-BE-Q</t>
  </si>
  <si>
    <t xml:space="preserve">Quality and hardening</t>
  </si>
  <si>
    <t xml:space="preserve">Architecture tests, isolation suite, contract snapshots, load and security</t>
  </si>
  <si>
    <t xml:space="preserve">SP-00, SP-01, SP-02, SP-04</t>
  </si>
  <si>
    <t xml:space="preserve">Key</t>
  </si>
  <si>
    <t xml:space="preserve">Title</t>
  </si>
  <si>
    <t xml:space="preserve">Epic</t>
  </si>
  <si>
    <t xml:space="preserve">Sprint gate</t>
  </si>
  <si>
    <t xml:space="preserve">Endpoints</t>
  </si>
  <si>
    <t xml:space="preserve">Tables</t>
  </si>
  <si>
    <t xml:space="preserve">Requirements</t>
  </si>
  <si>
    <t xml:space="preserve">Acceptance criteria</t>
  </si>
  <si>
    <t xml:space="preserve">Priority</t>
  </si>
  <si>
    <t xml:space="preserve">Blocked by</t>
  </si>
  <si>
    <t xml:space="preserve">Unblocks frontend</t>
  </si>
  <si>
    <t xml:space="preserve">BE-F01</t>
  </si>
  <si>
    <t xml:space="preserve">—</t>
  </si>
  <si>
    <t xml:space="preserve">Infrastructure</t>
  </si>
  <si>
    <t xml:space="preserve">Repository, Docker and the four environments</t>
  </si>
  <si>
    <t xml:space="preserve">Internal — no endpoint</t>
  </si>
  <si>
    <t xml:space="preserve">1. Provision local Docker, test, staging (production-identical) and production environments.
2. Laravel 11 skeleton with app/ kept deliberately thin: Kernel, Providers and Console only.
3. Coding standards: Pint for formatting, Rector for upgrades, Larastan at level 6.
4. All business logic lives under app-modules/, never under app/.</t>
  </si>
  <si>
    <t xml:space="preserve">☐  A merge to main deploys automatically to the test environment.
☐  Larastan level 6, Pint and Rector all pass with zero findings.
☐  app/ contains no controller, model or service.</t>
  </si>
  <si>
    <t xml:space="preserve">Nothing beyond the module scope.</t>
  </si>
  <si>
    <t xml:space="preserve">Highest</t>
  </si>
  <si>
    <t xml:space="preserve">None</t>
  </si>
  <si>
    <t xml:space="preserve">BE-F02</t>
  </si>
  <si>
    <t xml:space="preserve">Module scaffold with Composer path repositories</t>
  </si>
  <si>
    <t xml:space="preserve">1. Create app-modules/ with a local Composer path repository per module (b2b/core, b2b/identity, …).
2. Each module owns src/Contracts, Domain, Application, Infrastructure, Presentation, Database, Policies, config, lang, tests.
3. A module declares its dependencies in its own composer.json; a dependency it does not declare is not autoloadable.
4. Publish a module template so a new module is created identically every time.</t>
  </si>
  <si>
    <t xml:space="preserve">☐  Importing a class from an undeclared module fails at autoload, not at review.
☐  The six Layer 1 modules exist and boot.
☐  A new module can be scaffolded from the template in one command.</t>
  </si>
  <si>
    <t xml:space="preserve">nwidart/laravel-modules or any dynamic module loader — explicitly rejected in DOC-10 §1.3.</t>
  </si>
  <si>
    <t xml:space="preserve">BE-F03</t>
  </si>
  <si>
    <t xml:space="preserve">Deptrac dependency rules in CI</t>
  </si>
  <si>
    <t xml:space="preserve">1. Declare the four layers in deptrac.yaml: Foundation, Domain, Coordination, Presentation.
2. Ruleset: Coordination may depend on Domain and Foundation; Domain on Foundation; Foundation on nothing.
3. Run Deptrac in the pipeline and fail the build on a violation.</t>
  </si>
  <si>
    <t xml:space="preserve">☐  A Foundation module importing a Domain class fails the build.
☐  The Deptrac report is attached to every pipeline run.</t>
  </si>
  <si>
    <t xml:space="preserve">Documenting the rule without enforcing it. A boundary CI does not check is a wish, not a boundary.</t>
  </si>
  <si>
    <t xml:space="preserve">BE-F04</t>
  </si>
  <si>
    <t xml:space="preserve">Pest architecture tests</t>
  </si>
  <si>
    <t xml:space="preserve">1. No module imports another module Eloquent model (Modules\*\Domain\Models is module-private).
2. No float or double anywhere in a finance or money path.
3. Every channel controller is behind the channel guard middleware.
4. Cross-boundary references use identifiers, never Eloquent relations.</t>
  </si>
  <si>
    <t xml:space="preserve">☐  Each rule has a failing example proving the test actually catches it.
☐  The suite runs in CI on every pull request.</t>
  </si>
  <si>
    <t xml:space="preserve">BE-F05</t>
  </si>
  <si>
    <t xml:space="preserve">Base migrations and naming conventions</t>
  </si>
  <si>
    <t xml:space="preserve">1. Tables plural snake_case; columns snake_case with *_id foreign keys; routes kebab-case and plural.
2. States are a PHP Enum persisted as a string; events are past tense; jobs and actions are imperative verbs.
3. Each module owns its migrations, factories and seeders; only composite seeding lives in database/seeders.</t>
  </si>
  <si>
    <t xml:space="preserve">☐  A convention violation is caught by a static check, not by a reviewer.
☐  Migrations are backward compatible so deployment never requires downtime.</t>
  </si>
  <si>
    <t xml:space="preserve">High</t>
  </si>
  <si>
    <t xml:space="preserve">BE-F06</t>
  </si>
  <si>
    <t xml:space="preserve">OpenAPI contract and generated clients</t>
  </si>
  <si>
    <t xml:space="preserve">1. Generate the OpenAPI document from the route and resource definitions.
2. Generate a typed TypeScript client and Zod schemas for the three web frontends.
3. The catalog fields b (request body), r (data shape) and e (error codes) are the contract of record.</t>
  </si>
  <si>
    <t xml:space="preserve">☐  A frontend developer writes no type by hand.
☐  A server-side shape change breaks the frontend build rather than failing silently at runtime.</t>
  </si>
  <si>
    <t xml:space="preserve">BE-F07</t>
  </si>
  <si>
    <t xml:space="preserve">Queues and Horizon</t>
  </si>
  <si>
    <t xml:space="preserve">1. Four queues by priority: critical (OTP, handover, payments, outbox intake), default, media, reports.
2. Horizon supervises the workers and feeds the system-health screen.
3. Alert on queue backlog and on rising latency.</t>
  </si>
  <si>
    <t xml:space="preserve">☐  An OTP job never waits behind a report job.
☐  Horizon shows all four queues with their configured priorities.</t>
  </si>
  <si>
    <t xml:space="preserve">BE-F08</t>
  </si>
  <si>
    <t xml:space="preserve">Observability: Sentry, Pulse and alerting</t>
  </si>
  <si>
    <t xml:space="preserve">1. Sentry for errors, Pulse for application performance.
2. Phone numbers and tokens are masked in every log line.
3. Alerts on queue backlog, response-time regression and error-rate spikes.</t>
  </si>
  <si>
    <t xml:space="preserve">☐  No log line anywhere contains a full phone number or a token.
☐  An induced 500 reaches Sentry with the request context attached.</t>
  </si>
  <si>
    <t xml:space="preserve">Medium</t>
  </si>
  <si>
    <t xml:space="preserve">BE-F09</t>
  </si>
  <si>
    <t xml:space="preserve">Health endpoint</t>
  </si>
  <si>
    <t xml:space="preserve">EP-CORE-001</t>
  </si>
  <si>
    <t xml:space="preserve">1. GET /api/v1/health returns data.status = ok with no authentication and no idempotency key.
2. Report database, cache and queue reachability.</t>
  </si>
  <si>
    <t xml:space="preserve">☐  The endpoint answers without a Bearer token.
☐  It is the first endpoint the shared frontend kit calls successfully.</t>
  </si>
  <si>
    <t xml:space="preserve">BE-C01</t>
  </si>
  <si>
    <t xml:space="preserve">FE-CORE-01</t>
  </si>
  <si>
    <t xml:space="preserve">BE-F10</t>
  </si>
  <si>
    <t xml:space="preserve">Zero-downtime deployment pipeline</t>
  </si>
  <si>
    <t xml:space="preserve">1. Pipeline: static analysis → tests → frontend build → Docker image → zero-downtime deploy with safe migration.
2. Encrypted daily off-server backup with a documented monthly restore test.</t>
  </si>
  <si>
    <t xml:space="preserve">☐  A deployment causes no request failure.
☐  A restore test is executed and recorded before L1 closes.</t>
  </si>
  <si>
    <t xml:space="preserve">Unified response envelope</t>
  </si>
  <si>
    <t xml:space="preserve">1. Success: { data, meta.server_time } plus meta.sync_cursor where the module provides one.
2. List success adds meta.page, per_page, total and last_page.
3. Error: { error: { code, message, details?, permission? } } — never a raw Laravel validation payload.</t>
  </si>
  <si>
    <t xml:space="preserve">☐  A snapshot test pins the envelope shape for the mobile clients.
☐  No controller returns a bare array or a raw model.</t>
  </si>
  <si>
    <t xml:space="preserve">BE-C02</t>
  </si>
  <si>
    <t xml:space="preserve">Error handler and HTTP status map</t>
  </si>
  <si>
    <t xml:space="preserve">1. 401 unauthenticated, token_revoked. 403 wrong_guard, insufficient_permission, requires_2fa, requires_password_confirm.
2. 404 not_found for out-of-tenant access. 409 illegal_transition, operation_in_progress, stale_version.
3. 422 validation_failed with details keyed by field. 423 plan_limit_exceeded. 426 upgrade_required. 429 rate_limited. 503 maintenance_mode.
4. Messages are Arabic and translatable; the code is the contract, the message is for the human.</t>
  </si>
  <si>
    <t xml:space="preserve">☐  Every code in the map has a feature test that triggers it.
☐  A 403 for a permission failure carries the permission key in the payload.
☐  Out-of-tenant access returns 404, never 403 — existence is not disclosed.</t>
  </si>
  <si>
    <t xml:space="preserve">BE-C03</t>
  </si>
  <si>
    <t xml:space="preserve">Idempotency middleware</t>
  </si>
  <si>
    <t xml:space="preserve">idempotency_keys</t>
  </si>
  <si>
    <t xml:space="preserve">1. Every write accepts X-Idempotency-Key (BR-AD-24, REQ-CM-012).
2. Known and completed key → replay the stored response byte for byte with its original status.
3. Known and in flight → 409 operation_in_progress.
4. New key → execute, then store the response for 24 hours.
5. Exempt paths: public OTP request / verify / resend, platform login and 2FA, channel OTP, warehouse device-login.</t>
  </si>
  <si>
    <t xml:space="preserve">☐  Replaying a completed key creates no second row anywhere.
☐  Two concurrent requests with the same key produce one execution and one 409.
☐  This is the technical basis of REQ-IN-01 and AC-05 — proven by test, not asserted.</t>
  </si>
  <si>
    <t xml:space="preserve">BE-C04</t>
  </si>
  <si>
    <t xml:space="preserve">Immutable audit log</t>
  </si>
  <si>
    <t xml:space="preserve">audit_logs</t>
  </si>
  <si>
    <t xml:space="preserve">1. Record actor, action, entity, before and after values, IP, impersonation flag and timestamp.
2. No update and no delete path exists for the table (BR-16).
3. Every financial, inventory and permission mutation writes an entry.
4. Retention of at least two years.</t>
  </si>
  <si>
    <t xml:space="preserve">☐  An attempt to update or delete an audit row fails at the model layer.
☐  Any figure in any report can be traced back to its originating document.</t>
  </si>
  <si>
    <t xml:space="preserve">BE-C05</t>
  </si>
  <si>
    <t xml:space="preserve">Generic dual-approval mechanism</t>
  </si>
  <si>
    <t xml:space="preserve">approval_requests</t>
  </si>
  <si>
    <t xml:space="preserve">1. A sensitive action creates an approval_request instead of executing (draft, pending or deletion_request_id).
2. The approver must differ from the requester; the server rejects self-approval with 403.
3. Approval and rejection both require a written reason and are audited.
4. Execution happens only after approval, inside one transaction.</t>
  </si>
  <si>
    <t xml:space="preserve">☐  A creator approving their own role receives 403.
☐  No sensitive action ever executes on the first request.
☐  The pending state is visible to the requester through the approval inbox.</t>
  </si>
  <si>
    <t xml:space="preserve">BE-C06</t>
  </si>
  <si>
    <t xml:space="preserve">Money value object and integer columns</t>
  </si>
  <si>
    <t xml:space="preserve">1. Every amount is a bigInteger in the smallest currency unit, wrapped in a Money value object (BR-AD-18).
2. float and double are forbidden in any money column, enforced by architecture test.
3. Rounding happens in the presentation layer only, via MoneyResource.
4. An FX-rate change never reprices an existing order: currency and rate are frozen on the order line (BR-AD-19).</t>
  </si>
  <si>
    <t xml:space="preserve">☐  The architecture test fails on any float introduced into a money path.
☐  SYP renders with zero decimals through the resource, while storage stays integer.</t>
  </si>
  <si>
    <t xml:space="preserve">BE-C07</t>
  </si>
  <si>
    <t xml:space="preserve">State machine base and event tables</t>
  </si>
  <si>
    <t xml:space="preserve">1. status is protected by $guarded and can only be changed through the lifecycle service (BR-AD-13).
2. Each transition is recorded in a per-entity *_events table with actor, reason and timestamp.
3. A disallowed transition throws IllegalStateTransitionException, mapped to 409.
4. Transitions with financial or inventory effect are wrapped in a single database transaction.</t>
  </si>
  <si>
    <t xml:space="preserve">☐  Direct assignment to status outside the service fails a test.
☐  ChannelStateMachine is delivered in L1; the other three follow in their own layers.</t>
  </si>
  <si>
    <t xml:space="preserve">BE-C08</t>
  </si>
  <si>
    <t xml:space="preserve">Rate limiting</t>
  </si>
  <si>
    <t xml:space="preserve">1. Per user, per device and per IP limits, with a much stricter policy on OTP request (REQ-CM-055).
2. Progressive backoff on repeated failure and a temporary block.
3. Responses carry Retry-After so the client can run its countdown.</t>
  </si>
  <si>
    <t xml:space="preserve">☐  Exceeding the OTP limit returns 429 rate_limited with Retry-After set.
☐  The limit is enforced per phone number and per IP independently.</t>
  </si>
  <si>
    <t xml:space="preserve">BE-C09</t>
  </si>
  <si>
    <t xml:space="preserve">List contract: pagination, filtering, sorting, search</t>
  </si>
  <si>
    <t xml:space="preserve">1. page, per_page (default 25, hard cap 100), sort, search and filter[*] on every platform list.
2. Cursor pagination for long mobile lists rather than offset pagination.
3. Export endpoints accept the active filter set, never a page number.</t>
  </si>
  <si>
    <t xml:space="preserve">☐  Requesting per_page=500 is capped at 100 rather than rejected.
☐  An export produces the full filtered result set.</t>
  </si>
  <si>
    <t xml:space="preserve">BE-C10</t>
  </si>
  <si>
    <t xml:space="preserve">Background job contract</t>
  </si>
  <si>
    <t xml:space="preserve">1. A heavy operation returns job_id immediately instead of blocking the request.
2. A job-status endpoint reports progress and the resulting artefact.
3. Exports and provisioning both use this contract.</t>
  </si>
  <si>
    <t xml:space="preserve">☐  No export or provisioning request holds an HTTP connection open.
☐  A completed job is retrievable without the client having polled continuously.</t>
  </si>
  <si>
    <t xml:space="preserve">BE-I01</t>
  </si>
  <si>
    <t xml:space="preserve">Four guards and separate user tables</t>
  </si>
  <si>
    <t xml:space="preserve">SP-01</t>
  </si>
  <si>
    <t xml:space="preserve">platform_users, channel_users, warehouse_users, retailers, reps</t>
  </si>
  <si>
    <t xml:space="preserve">1. Guards: app (retailer and rep), channel, warehouse, platform — each with its own user table.
2. Sanctum tokens with abilities; a registration-ability token is issued before the profile exists.
3. Presenting a token to the wrong guard returns 403 wrong_guard.
4. One phone number cannot be registered under two kinds; the server rejects the second.</t>
  </si>
  <si>
    <t xml:space="preserve">☐  A retailer token on /platform returns 403 wrong_guard, never 200.
☐  Registering the same phone as both retailer and rep is rejected with a clear message.</t>
  </si>
  <si>
    <t xml:space="preserve">BE-I02</t>
  </si>
  <si>
    <t xml:space="preserve">OTP storage and security policy</t>
  </si>
  <si>
    <t xml:space="preserve">otp_codes</t>
  </si>
  <si>
    <t xml:space="preserve">1. Codes are stored hashed, never in clear text, with a five-minute expiry and a capped attempt count.
2. Purpose is recorded (register or login) and a code is single use.
3. Strict rate limiting per phone and per IP with progressive delay.</t>
  </si>
  <si>
    <t xml:space="preserve">☐  A database dump exposes no usable code.
☐  A consumed or expired code returns 401 otp_invalid.
☐  Attempt exhaustion invalidates the code rather than merely rejecting the attempt.</t>
  </si>
  <si>
    <t xml:space="preserve">BE-I01, BE-C08</t>
  </si>
  <si>
    <t xml:space="preserve">BE-I03</t>
  </si>
  <si>
    <t xml:space="preserve">Request OTP endpoint</t>
  </si>
  <si>
    <t xml:space="preserve">EP-CM-001</t>
  </si>
  <si>
    <t xml:space="preserve">1. Body: phone, purpose, client. The server normalises the Syrian number; the client sends it as typed.
2. Response carries otp_id, expires_in (300), resend_after (60) and channel_used.
3. Delivery goes through the WhatsApp contract, with the SMS fallback selectable.</t>
  </si>
  <si>
    <t xml:space="preserve">☐  A non-Syrian number returns 422 with the error on the phone field, in Arabic.
☐  Exceeding the limit returns 429 with resend_after set.</t>
  </si>
  <si>
    <t xml:space="preserve">BE-I02, BE-X01</t>
  </si>
  <si>
    <t xml:space="preserve">RP-01, RP-03, RT-03</t>
  </si>
  <si>
    <t xml:space="preserve">BE-I04</t>
  </si>
  <si>
    <t xml:space="preserve">Verify OTP and device binding</t>
  </si>
  <si>
    <t xml:space="preserve">EP-CM-002</t>
  </si>
  <si>
    <t xml:space="preserve">devices, sessions</t>
  </si>
  <si>
    <t xml:space="preserve">1. Body: otp_id, code, device_id, device_name, platform.
2. Issue a Sanctum token bound to device_uuid; return is_new_user and profile_completed.
3. A new user receives a registration-ability token only; a complete user receives a full token.
4. Record the device and open a session row.</t>
  </si>
  <si>
    <t xml:space="preserve">☐  A wrong code returns 401 otp_invalid and consumes one attempt.
☐  The issued token is bound to the device and is revoked on logout.
☐  is_new_user is computed by the server, not inferred by the client.</t>
  </si>
  <si>
    <t xml:space="preserve">RP-01, RP-03, RT-06</t>
  </si>
  <si>
    <t xml:space="preserve">BE-I05</t>
  </si>
  <si>
    <t xml:space="preserve">Resend OTP with channel preference</t>
  </si>
  <si>
    <t xml:space="preserve">EP-CM-003</t>
  </si>
  <si>
    <t xml:space="preserve">1. Body: otp_id, prefer_channel (whatsapp default, sms fallback).
2. Resend is refused before resend_after has elapsed.
3. The SMS route is switchable from settings without redeploying the app (REQ-CM-003).</t>
  </si>
  <si>
    <t xml:space="preserve">☐  An early resend returns 429 with the remaining time.
☐  Switching the provider in settings takes effect without a release.</t>
  </si>
  <si>
    <t xml:space="preserve">RP-01, RP-03, RT-05</t>
  </si>
  <si>
    <t xml:space="preserve">BE-I06</t>
  </si>
  <si>
    <t xml:space="preserve">Retailer registration</t>
  </si>
  <si>
    <t xml:space="preserve">EP-RT-001</t>
  </si>
  <si>
    <t xml:space="preserve">retailers</t>
  </si>
  <si>
    <t xml:space="preserve">1. Body: owner_name, shop_name, activity_type_id, category_ids, equipment_ids, governorate_id, zone_id, lat, lng, address.
2. Reject a zone that does not belong to the submitted governorate with 422 on zone_id.
3. No email and no password field exists on this path.
4. On success return a new full token and a profile with status pending_review.</t>
  </si>
  <si>
    <t xml:space="preserve">☐  The retailer cannot reach any operational surface while pending_review.
☐  Re-submitting with the same idempotency key does not create a second profile.</t>
  </si>
  <si>
    <t xml:space="preserve">BE-I04, BE-R02, BE-R03</t>
  </si>
  <si>
    <t xml:space="preserve">RT-08, RT-09, RT-10</t>
  </si>
  <si>
    <t xml:space="preserve">BE-I07</t>
  </si>
  <si>
    <t xml:space="preserve">Rep registration with channel invite</t>
  </si>
  <si>
    <t xml:space="preserve">EP-RP-001</t>
  </si>
  <si>
    <t xml:space="preserve">reps</t>
  </si>
  <si>
    <t xml:space="preserve">1. Body: name, supply_channel_id, activity_type_id, zone_ids, note.
2. A zone outside the channel coverage returns 422 on zone_ids.
3. A channel that is not active returns 409.
4. The rep-to-channel relation is many-to-many and carries the caps for each channel.</t>
  </si>
  <si>
    <t xml:space="preserve">☐  supply_channel_id is accepted only from a valid invite, never from a public list.
☐  GET /public/refs never exposes channels (REQ-IN-06).</t>
  </si>
  <si>
    <t xml:space="preserve">BE-I04, BE-T01</t>
  </si>
  <si>
    <t xml:space="preserve">RP-07</t>
  </si>
  <si>
    <t xml:space="preserve">BE-I08</t>
  </si>
  <si>
    <t xml:space="preserve">App session endpoint</t>
  </si>
  <si>
    <t xml:space="preserve">EP-CM-004</t>
  </si>
  <si>
    <t xml:space="preserve">1. Return the user, profile_completed, status, feature_flags, sync_cursor and legal state.
2. An invalid or revoked token returns 401 so the client can drop it.
3. Do not return points or tier in L1 even where a sample payload shows them.</t>
  </si>
  <si>
    <t xml:space="preserve">☐  The five splash branches in the retailer brief are all derivable from this one response.
☐  requires_legal_accept is a flag only; no legal endpoint exists in L1.</t>
  </si>
  <si>
    <t xml:space="preserve">RP-08, RP-09, RT-01, RT-11, RT-13</t>
  </si>
  <si>
    <t xml:space="preserve">BE-I09</t>
  </si>
  <si>
    <t xml:space="preserve">App logout and token revocation</t>
  </si>
  <si>
    <t xml:space="preserve">EP-CM-005</t>
  </si>
  <si>
    <t xml:space="preserve">1. Revoke the current token and close its session row.
2. A revoked token returns 401 token_revoked on any later request.
3. A session can also be invalidated from the backend (REQ-CM-007).</t>
  </si>
  <si>
    <t xml:space="preserve">☐  A token used after logout returns 401 token_revoked.
☐  Backend invalidation takes effect on the next request, not on the next login.</t>
  </si>
  <si>
    <t xml:space="preserve">RP-09, RT-15</t>
  </si>
  <si>
    <t xml:space="preserve">BE-I10</t>
  </si>
  <si>
    <t xml:space="preserve">Channel OTP sign-in</t>
  </si>
  <si>
    <t xml:space="preserve">EP-CH-001, EP-CH-002</t>
  </si>
  <si>
    <t xml:space="preserve">channel_users</t>
  </si>
  <si>
    <t xml:space="preserve">1. Request accepts phone only — purpose is not part of this catalog row.
2. Verify accepts otp_id and code and returns token, permissions[] and channels[].
3. A user with no channel membership receives 403 with a clear message.
4. Membership of more than one channel returns all of them for the picker.</t>
  </si>
  <si>
    <t xml:space="preserve">☐  Sending purpose is rejected by the request validation.
☐  permissions[] is present on the verify response and drives the sidebar.</t>
  </si>
  <si>
    <t xml:space="preserve">BE-I02, BE-T01</t>
  </si>
  <si>
    <t xml:space="preserve">CH-02, CH-03</t>
  </si>
  <si>
    <t xml:space="preserve">BE-I11</t>
  </si>
  <si>
    <t xml:space="preserve">Warehouse device provisioning and login</t>
  </si>
  <si>
    <t xml:space="preserve">EP-WH-001</t>
  </si>
  <si>
    <t xml:space="preserve">warehouse_users, devices</t>
  </si>
  <si>
    <t xml:space="preserve">1. An artisan command warehouse:register-device issues a device_token bound to one warehouse.
2. POST /warehouse/auth/device-login accepts device_token and a four-digit PIN.
3. A failure returns one identical 401 whether the token or the PIN was wrong.
4. The success payload carries warehouse.name and permissions[].</t>
  </si>
  <si>
    <t xml:space="preserve">☐  No API path can create a device — provisioning is an operator command only.
☐  The 401 body is byte-identical for a wrong token and a wrong PIN.
☐  PINs are hashed and attempt-limited.</t>
  </si>
  <si>
    <t xml:space="preserve">WH-03</t>
  </si>
  <si>
    <t xml:space="preserve">BE-I12</t>
  </si>
  <si>
    <t xml:space="preserve">Platform login and TOTP</t>
  </si>
  <si>
    <t xml:space="preserve">EP-AD-001, EP-AD-002, EP-AD-003</t>
  </si>
  <si>
    <t xml:space="preserve">platform_users</t>
  </si>
  <si>
    <t xml:space="preserve">1. Login with email and password; when 2FA is enabled return requires_2fa and a short-lived challenge_token.
2. Verify the TOTP code against the challenge and issue the session token with roles, permissions and expires_at.
3. A 401 reveals nothing about whether the email exists.
4. Logout revokes the token.</t>
  </si>
  <si>
    <t xml:space="preserve">☐  The failure message is identical for an unknown email and a wrong password.
☐  challenge_token expires in minutes and is single use.</t>
  </si>
  <si>
    <t xml:space="preserve">AD-10, AD-11, AD-13</t>
  </si>
  <si>
    <t xml:space="preserve">BE-I13</t>
  </si>
  <si>
    <t xml:space="preserve">Platform account profile and password</t>
  </si>
  <si>
    <t xml:space="preserve">EP-AD-004, EP-AD-159A, EP-AD-159B, EP-AD-159C</t>
  </si>
  <si>
    <t xml:space="preserve">1. Return the admin identity with roles and permissions on boot.
2. Update name and phone; change password with current_password confirmation.
3. The password route is marked crit and requires a fresh password confirmation.</t>
  </si>
  <si>
    <t xml:space="preserve">☐  Changing the password does not silently invalidate other sessions unless the policy says so.
☐  Validation errors are keyed by field.</t>
  </si>
  <si>
    <t xml:space="preserve">AD-12, AD-14, AD-15</t>
  </si>
  <si>
    <t xml:space="preserve">BE-I14</t>
  </si>
  <si>
    <t xml:space="preserve">Session listing and revocation</t>
  </si>
  <si>
    <t xml:space="preserve">EP-AD-006, EP-AD-007</t>
  </si>
  <si>
    <t xml:space="preserve">sessions</t>
  </si>
  <si>
    <t xml:space="preserve">1. List active sessions with device, IP, last activity and a current flag.
2. Revoke any session by id; revoking the current one ends the request session too.</t>
  </si>
  <si>
    <t xml:space="preserve">☐  The current session is flagged unambiguously.
☐  A revoked session cannot make another authenticated request.</t>
  </si>
  <si>
    <t xml:space="preserve">AD-16</t>
  </si>
  <si>
    <t xml:space="preserve">BE-I15</t>
  </si>
  <si>
    <t xml:space="preserve">Two-factor enrolment and recovery codes</t>
  </si>
  <si>
    <t xml:space="preserve">EP-AD-159D, EP-AD-159E, EP-AD-159F</t>
  </si>
  <si>
    <t xml:space="preserve">1. Enable returns qr_svg and secret; confirm activates only after a valid code.
2. Recovery codes are returned exactly once at confirmation and stored hashed.
3. The later endpoint returns codes_remaining only, never the codes.</t>
  </si>
  <si>
    <t xml:space="preserve">☐  Recovery codes cannot be retrieved a second time by any route.
☐  A used recovery code cannot be reused.</t>
  </si>
  <si>
    <t xml:space="preserve">AD-17</t>
  </si>
  <si>
    <t xml:space="preserve">BE-I16</t>
  </si>
  <si>
    <t xml:space="preserve">Personal API tokens</t>
  </si>
  <si>
    <t xml:space="preserve">EP-AD-159G, EP-AD-159H, EP-AD-159I</t>
  </si>
  <si>
    <t xml:space="preserve">1. List, create with name and password_confirmation, and delete.
2. The secret is returned once at creation and stored hashed.</t>
  </si>
  <si>
    <t xml:space="preserve">☐  The secret cannot be retrieved after the creation response.
☐  Deleting a token revokes it immediately.</t>
  </si>
  <si>
    <t xml:space="preserve">AD-18</t>
  </si>
  <si>
    <t xml:space="preserve">BE-I17</t>
  </si>
  <si>
    <t xml:space="preserve">Password confirmation window</t>
  </si>
  <si>
    <t xml:space="preserve">EP-AD-005</t>
  </si>
  <si>
    <t xml:space="preserve">1. A crit route returns 403 requires_password_confirm when the window has lapsed.
2. Confirming opens a fifteen-minute window bound to the session.
3. The replayed original request must carry the same idempotency key and must not execute twice.</t>
  </si>
  <si>
    <t xml:space="preserve">☐  A replay after confirmation produces exactly one execution.
☐  The window expires on time and reopens the challenge rather than failing silently.</t>
  </si>
  <si>
    <t xml:space="preserve">AD-03</t>
  </si>
  <si>
    <t xml:space="preserve">BE-I18</t>
  </si>
  <si>
    <t xml:space="preserve">Guest mode and write blocking</t>
  </si>
  <si>
    <t xml:space="preserve">1. A guest token permits browsing and blocks every write with a clear directing message (REQ-CM-005).
2. The guest token cannot be upgraded implicitly; registration is explicit.</t>
  </si>
  <si>
    <t xml:space="preserve">☐  Any write attempted with a guest token is refused with a message the app can display verbatim.</t>
  </si>
  <si>
    <t xml:space="preserve">BE-A01</t>
  </si>
  <si>
    <t xml:space="preserve">Permission catalog seed</t>
  </si>
  <si>
    <t xml:space="preserve">permissions</t>
  </si>
  <si>
    <t xml:space="preserve">1. Seed the 170 permissions from the DOC-08 catalog literally, including the Arabic name.
2. Each permission carries system, module, severity and a dual-approval flag.
3. Permission codes are used verbatim in code — no renaming, no aliasing.</t>
  </si>
  <si>
    <t xml:space="preserve">☐  The seed is idempotent and re-runnable.
☐  A permission referenced in code but missing from the catalog fails a test.</t>
  </si>
  <si>
    <t xml:space="preserve">BE-A02</t>
  </si>
  <si>
    <t xml:space="preserve">Permission catalog and holders API</t>
  </si>
  <si>
    <t xml:space="preserve">1. List permissions with filters on system and severity and counts of roles and users.
2. A holders endpoint returns the roles, the users and last usage for one permission code.</t>
  </si>
  <si>
    <t xml:space="preserve">☐  Counts are computed server side, never in the client.
☐  Filtering happens through filter[*].</t>
  </si>
  <si>
    <t xml:space="preserve">BE-A01, BE-C09</t>
  </si>
  <si>
    <t xml:space="preserve">BE-A03</t>
  </si>
  <si>
    <t xml:space="preserve">Roles with draft lifecycle</t>
  </si>
  <si>
    <t xml:space="preserve">roles, role_permission</t>
  </si>
  <si>
    <t xml:space="preserve">1. Create a role with name, key, system, description, permissions and an optional copy_from_role_id.
2. A new role is created with status draft and confers nothing until approved.
3. Builtin roles cannot be deleted through any path.</t>
  </si>
  <si>
    <t xml:space="preserve">☐  A draft role grants no access whatsoever.
☐  Deleting a builtin role is refused server side, not merely hidden in the UI.</t>
  </si>
  <si>
    <t xml:space="preserve">BE-A01, BE-C05</t>
  </si>
  <si>
    <t xml:space="preserve">BE-A04</t>
  </si>
  <si>
    <t xml:space="preserve">Role preview with SoD conflict detection</t>
  </si>
  <si>
    <t xml:space="preserve">1. Preview returns summary_ar describing in plain Arabic what the role can do.
2. Preview returns sod_conflicts computed against the segregation-of-duties rules.
3. A conflicting combination is refused on save with sod_violation.</t>
  </si>
  <si>
    <t xml:space="preserve">☐  Preview is a pure read: it creates nothing.
☐  A known conflicting pair is detected by test.</t>
  </si>
  <si>
    <t xml:space="preserve">BE-A03, BE-A11</t>
  </si>
  <si>
    <t xml:space="preserve">BE-A05</t>
  </si>
  <si>
    <t xml:space="preserve">Role approval by a second user</t>
  </si>
  <si>
    <t xml:space="preserve">1. Approval requires a written reason and moves the role from draft to active.
2. The creator approving their own role receives 403.</t>
  </si>
  <si>
    <t xml:space="preserve">☐  Self-approval is impossible through any path including a direct API call.
☐  The transition is audited with both identities.</t>
  </si>
  <si>
    <t xml:space="preserve">BE-A03, BE-C05</t>
  </si>
  <si>
    <t xml:space="preserve">BE-A06</t>
  </si>
  <si>
    <t xml:space="preserve">Replace role permissions</t>
  </si>
  <si>
    <t xml:space="preserve">1. Replace the permission set atomically with a mandatory reason.
2. Re-run the SoD check on the new set before persisting.</t>
  </si>
  <si>
    <t xml:space="preserve">☐  A partial write is impossible; the change is all or nothing.
☐  The before and after sets are both recorded in the audit log.</t>
  </si>
  <si>
    <t xml:space="preserve">BE-A07</t>
  </si>
  <si>
    <t xml:space="preserve">Bulk role assignment</t>
  </si>
  <si>
    <t xml:space="preserve">1. Accept at most fifty user_ids per request.
2. Return assigned and rejected separately with a reason per rejection.
3. A rejection for one user never rolls back the others.</t>
  </si>
  <si>
    <t xml:space="preserve">☐  A partially successful request returns 200 with both lists, not a blanket failure.
☐  Exceeding fifty is refused with 422.</t>
  </si>
  <si>
    <t xml:space="preserve">BE-A08</t>
  </si>
  <si>
    <t xml:space="preserve">Revoke assignment</t>
  </si>
  <si>
    <t xml:space="preserve">1. Accept user_id, role_id and a mandatory reason.
2. Revocation takes effect on the next request, not on the next login.</t>
  </si>
  <si>
    <t xml:space="preserve">☐  The revoked user loses the permission immediately.
☐  The revocation is audited with its reason.</t>
  </si>
  <si>
    <t xml:space="preserve">BE-A09</t>
  </si>
  <si>
    <t xml:space="preserve">Permission simulator</t>
  </si>
  <si>
    <t xml:space="preserve">1. Accept user_type, user_id, permission, resource_type and resource_id.
2. Return decision_path: the outcome of each layer in order (guard, tenancy scope, role, policy, temporary grant).
3. The simulator is strictly read only and mutates nothing.</t>
  </si>
  <si>
    <t xml:space="preserve">☐  The simulated result matches the real authorisation decision in every test case.
☐  Every layer is represented in the path, including the ones that passed.</t>
  </si>
  <si>
    <t xml:space="preserve">BE-A10</t>
  </si>
  <si>
    <t xml:space="preserve">Temporary grants</t>
  </si>
  <si>
    <t xml:space="preserve">temp_grants</t>
  </si>
  <si>
    <t xml:space="preserve">1. duration_minutes is capped at 240 and reason must be at least twenty characters.
2. The grant is created pending_approval and confers nothing until approved.
3. Expiry is automatic and audited; no manual cleanup is required.</t>
  </si>
  <si>
    <t xml:space="preserve">☐  An expired grant stops conferring access without any job having to run on time.
☐  A grant longer than 240 minutes is refused with 422.</t>
  </si>
  <si>
    <t xml:space="preserve">BE-A11</t>
  </si>
  <si>
    <t xml:space="preserve">Segregation of duties rules</t>
  </si>
  <si>
    <t xml:space="preserve">sod_rules</t>
  </si>
  <si>
    <t xml:space="preserve">1. Seed the conflicting permission pairs and expose them read only in L1.
2. The rule engine is consumed by role preview, role save and assignment.</t>
  </si>
  <si>
    <t xml:space="preserve">☐  No write endpoint for SoD rules exists in L1.
☐  The same engine is used by all three consumers — one implementation, not three.</t>
  </si>
  <si>
    <t xml:space="preserve">BE-A12</t>
  </si>
  <si>
    <t xml:space="preserve">Approval inbox and decisions</t>
  </si>
  <si>
    <t xml:space="preserve">1. List pending requests with enough context to decide.
2. Decide with approve or reject plus a mandatory reason; the approver must differ from the requester.
3. Approval executes the deferred action inside one transaction.</t>
  </si>
  <si>
    <t xml:space="preserve">☐  A rejected request never executes its action.
☐  An approved deletion executes exactly once even if the endpoint is called twice.</t>
  </si>
  <si>
    <t xml:space="preserve">BE-A13</t>
  </si>
  <si>
    <t xml:space="preserve">Audit query API</t>
  </si>
  <si>
    <t xml:space="preserve">1. Filter by actor, action, channel_id and date range, all server side.
2. Row detail returns the before and after payloads, the IP and the impersonation flag.
3. Indexes support the date-range query at production volume.</t>
  </si>
  <si>
    <t xml:space="preserve">☐  A ninety-day range query returns within the interactive budget.
☐  The before and after payloads are structured, not a flattened string.</t>
  </si>
  <si>
    <t xml:space="preserve">BE-C04, BE-C09</t>
  </si>
  <si>
    <t xml:space="preserve">BE-A14</t>
  </si>
  <si>
    <t xml:space="preserve">Audit export job</t>
  </si>
  <si>
    <t xml:space="preserve">1. Accept filters and format xlsx and return job_id on the reports queue.
2. The export honours the submitted filters, not a page.</t>
  </si>
  <si>
    <t xml:space="preserve">☐  The request returns immediately with job_id.
☐  The produced file matches the filtered row count exactly.</t>
  </si>
  <si>
    <t xml:space="preserve">BE-A13, BE-C10</t>
  </si>
  <si>
    <t xml:space="preserve">BE-A15</t>
  </si>
  <si>
    <t xml:space="preserve">Quarterly access review campaigns</t>
  </si>
  <si>
    <t xml:space="preserve">access_reviews</t>
  </si>
  <si>
    <t xml:space="preserve">1. Start a campaign with quarter and scope and materialise its item set.
2. Each item is decided keep or revoke with a reason.
3. The campaign cannot be closed while any item is undecided.
4. A revoke decision actually revokes the assignment on close.</t>
  </si>
  <si>
    <t xml:space="preserve">☐  Closing with an undecided item is refused server side.
☐  Revocations from a closed campaign are visible in the audit log.</t>
  </si>
  <si>
    <t xml:space="preserve">BE-A16</t>
  </si>
  <si>
    <t xml:space="preserve">Two-level authorisation enforcement</t>
  </si>
  <si>
    <t xml:space="preserve">1. Policy per model plus permission per action — both are required, neither alone is sufficient.
2. Every endpoint declares its permission explicitly; a missing declaration fails a test.
3. A 403 carries the permission key so the client can hide the control.</t>
  </si>
  <si>
    <t xml:space="preserve">☐  A bypass attempt on every write endpoint is covered by a test.
☐  An endpoint without a declared permission cannot be merged.</t>
  </si>
  <si>
    <t xml:space="preserve">BE-A01, BE-T02</t>
  </si>
  <si>
    <t xml:space="preserve">BE-R01</t>
  </si>
  <si>
    <t xml:space="preserve">Reference module core and soft-delete policy</t>
  </si>
  <si>
    <t xml:space="preserve">ReferenceDisabled</t>
  </si>
  <si>
    <t xml:space="preserve">1. A shared pattern for all seven entities: list, create, update with reason, enable and disable.
2. No hard delete on any reference entity; disabling is logical and audited.
3. Disabling emits ReferenceDisabled, consumed by Catalog, Tenancy and Ordering to block new use without touching existing rows.
4. Reference entities carry no channel_id and are not subject to the tenant scope.</t>
  </si>
  <si>
    <t xml:space="preserve">☐  A disabled reference blocks new registration but leaves existing records intact.
☐  No delete route exists on any reference entity.</t>
  </si>
  <si>
    <t xml:space="preserve">BE-R02</t>
  </si>
  <si>
    <t xml:space="preserve">Governorates</t>
  </si>
  <si>
    <t xml:space="preserve">EP-AD-030, EP-AD-031, EP-AD-042A, EP-AD-043A</t>
  </si>
  <si>
    <t xml:space="preserve">governorates</t>
  </si>
  <si>
    <t xml:space="preserve">1. CRUD with name_ar, name_en and code; status toggle with a reason.
2. Seed the Syrian governorates as launch data.</t>
  </si>
  <si>
    <t xml:space="preserve">☐  The seed is idempotent.
☐  An update without a reason is refused with 422.</t>
  </si>
  <si>
    <t xml:space="preserve">AD-41</t>
  </si>
  <si>
    <t xml:space="preserve">BE-R03</t>
  </si>
  <si>
    <t xml:space="preserve">Zones with impact counts</t>
  </si>
  <si>
    <t xml:space="preserve">EP-AD-032, EP-AD-033, EP-AD-042B, EP-AD-034</t>
  </si>
  <si>
    <t xml:space="preserve">zones</t>
  </si>
  <si>
    <t xml:space="preserve">1. List supports filter[governorate_id]; a zone belongs to exactly one governorate.
2. The status route is 034, deliberately outside the 043 family — this is a documented contract exception.
3. Before disabling, return affected.retailers, affected.reps and affected.open_orders (REQ-AD-031).
4. Disabling a zone stops new orders from it without affecting orders already placed.</t>
  </si>
  <si>
    <t xml:space="preserve">☐  The affected counts are computed live, never cached or estimated.
☐  A contract test pins the 034 route so it cannot drift to 043.</t>
  </si>
  <si>
    <t xml:space="preserve">AD-42, AD-49</t>
  </si>
  <si>
    <t xml:space="preserve">BE-R04</t>
  </si>
  <si>
    <t xml:space="preserve">Activity types</t>
  </si>
  <si>
    <t xml:space="preserve">EP-AD-035A, EP-AD-035B, EP-AD-042C, EP-AD-043B</t>
  </si>
  <si>
    <t xml:space="preserve">activity_types</t>
  </si>
  <si>
    <t xml:space="preserve">1. CRUD plus status; an activity type may carry suggested root categories.
2. The activity type drives what a retailer is shown after registration.</t>
  </si>
  <si>
    <t xml:space="preserve">☐  Suggested categories are returned with the activity type in public refs.</t>
  </si>
  <si>
    <t xml:space="preserve">AD-43</t>
  </si>
  <si>
    <t xml:space="preserve">BE-R05</t>
  </si>
  <si>
    <t xml:space="preserve">Root categories</t>
  </si>
  <si>
    <t xml:space="preserve">EP-AD-036A, EP-AD-036B, EP-AD-042D, EP-AD-043C</t>
  </si>
  <si>
    <t xml:space="preserve">root_categories</t>
  </si>
  <si>
    <t xml:space="preserve">1. CRUD plus status; disabling a category that is in use returns 409 ref_in_use with the usage count.
2. Root categories are platform-level; the five-level channel tree in Catalog hangs off them in Layer 2.</t>
  </si>
  <si>
    <t xml:space="preserve">☐  409 carries the number of dependent records so the message can be specific.</t>
  </si>
  <si>
    <t xml:space="preserve">AD-44</t>
  </si>
  <si>
    <t xml:space="preserve">BE-R06</t>
  </si>
  <si>
    <t xml:space="preserve">Sale units</t>
  </si>
  <si>
    <t xml:space="preserve">EP-AD-037A, EP-AD-037B, EP-AD-042E, EP-AD-043D</t>
  </si>
  <si>
    <t xml:space="preserve">sale_units</t>
  </si>
  <si>
    <t xml:space="preserve">1. CRUD plus status; a unit in use cannot be disabled (409 ref_in_use).
2. Unit conversion factors belong to the product in Layer 2, not here.</t>
  </si>
  <si>
    <t xml:space="preserve">☐  409 is returned with the usage context.</t>
  </si>
  <si>
    <t xml:space="preserve">AD-45</t>
  </si>
  <si>
    <t xml:space="preserve">BE-R07</t>
  </si>
  <si>
    <t xml:space="preserve">Equipment</t>
  </si>
  <si>
    <t xml:space="preserve">EP-AD-038A, EP-AD-038B, EP-AD-042F, EP-AD-043E</t>
  </si>
  <si>
    <t xml:space="preserve">equipments</t>
  </si>
  <si>
    <t xml:space="preserve">1. CRUD plus status; equipment is used for targeting and recommendations.</t>
  </si>
  <si>
    <t xml:space="preserve">☐  The entity follows the shared reference pattern with no bespoke code.</t>
  </si>
  <si>
    <t xml:space="preserve">Low</t>
  </si>
  <si>
    <t xml:space="preserve">AD-46</t>
  </si>
  <si>
    <t xml:space="preserve">BE-R08</t>
  </si>
  <si>
    <t xml:space="preserve">Currencies and decimals</t>
  </si>
  <si>
    <t xml:space="preserve">EP-AD-039A, EP-AD-039B, EP-AD-042G, EP-AD-043F</t>
  </si>
  <si>
    <t xml:space="preserve">currencies</t>
  </si>
  <si>
    <t xml:space="preserve">1. Each currency carries a decimals value that governs presentation everywhere; SYP is zero.
2. Currency management requires the ad.refs.currency permission, not the general refs permission.</t>
  </si>
  <si>
    <t xml:space="preserve">☐  Storage stays integer regardless of decimals.
☐  The permission split is enforced server side.</t>
  </si>
  <si>
    <t xml:space="preserve">BE-R01, BE-C06</t>
  </si>
  <si>
    <t xml:space="preserve">AD-47</t>
  </si>
  <si>
    <t xml:space="preserve">BE-R09</t>
  </si>
  <si>
    <t xml:space="preserve">FX rates</t>
  </si>
  <si>
    <t xml:space="preserve">fx_rates</t>
  </si>
  <si>
    <t xml:space="preserve">1. rate is an integer; no float exists on this path.
2. Setting is_display_currency atomically clears the previous display currency.
3. A rate change never reprices an existing order (BR-AD-19) — orders freeze their currency and rate.</t>
  </si>
  <si>
    <t xml:space="preserve">☐  An architecture test proves no float reaches the FX path.
☐  Two display currencies cannot exist simultaneously, even under concurrent writes.</t>
  </si>
  <si>
    <t xml:space="preserve">BE-R10</t>
  </si>
  <si>
    <t xml:space="preserve">Public references endpoint</t>
  </si>
  <si>
    <t xml:space="preserve">EP-PB-001</t>
  </si>
  <si>
    <t xml:space="preserve">1. Return active activity_types, root_categories, equipments, governorates and zones in one payload.
2. Carry meta.sync_cursor and accept since= for a differential response.
3. No Bearer and no idempotency key on this path.
4. Channels are never included in this payload (REQ-IN-06).</t>
  </si>
  <si>
    <t xml:space="preserve">☐  A since= request returns only what changed.
☐  The payload is small enough for a low-end device on 3G.
☐  No channel data leaks through this endpoint under any parameter.</t>
  </si>
  <si>
    <t xml:space="preserve">BE-R02, BE-R03, BE-R04, BE-R05, BE-R07</t>
  </si>
  <si>
    <t xml:space="preserve">FE-CORE-05, RP-06, RT-07</t>
  </si>
  <si>
    <t xml:space="preserve">BE-R11</t>
  </si>
  <si>
    <t xml:space="preserve">Reference import with dry run</t>
  </si>
  <si>
    <t xml:space="preserve">import_batches</t>
  </si>
  <si>
    <t xml:space="preserve">1. Accept a multipart upload with a type and dry_run flag.
2. A dry run validates everything and returns preview rows plus errors[{row, column, message}] without writing.
3. Execution requires dry_run=false and a fresh idempotency key.</t>
  </si>
  <si>
    <t xml:space="preserve">☐  A dry run writes nothing, provably.
☐  Row errors name the exact row and column.
☐  Re-executing with the same key does not double-import.</t>
  </si>
  <si>
    <t xml:space="preserve">BE-R01, BE-C03</t>
  </si>
  <si>
    <t xml:space="preserve">BE-R12</t>
  </si>
  <si>
    <t xml:space="preserve">Mandatory reason on reference mutations</t>
  </si>
  <si>
    <t xml:space="preserve">1. Every reference mutation requires a reason in the request body, validated server side.
2. The reason is written to the audit log with the before and after values.</t>
  </si>
  <si>
    <t xml:space="preserve">☐  A mutation without a reason is refused with 422 — the client cannot bypass it.</t>
  </si>
  <si>
    <t xml:space="preserve">BE-R01, BE-C04</t>
  </si>
  <si>
    <t xml:space="preserve">BE-T01</t>
  </si>
  <si>
    <t xml:space="preserve">Supply channels and the channel state machine</t>
  </si>
  <si>
    <t xml:space="preserve">supply_channels</t>
  </si>
  <si>
    <t xml:space="preserve">ChannelStatusChanged</t>
  </si>
  <si>
    <t xml:space="preserve">1. Model the channel with its lifecycle states and an explicit allowed_next transition matrix.
2. active → archived does not exist as a transition and must not be reachable.
3. A status change emits ChannelStatusChanged, which freezes new orders only (BR-AD-14).
4. Every transition is recorded with actor, reason and timestamp.</t>
  </si>
  <si>
    <t xml:space="preserve">☐  A disallowed transition returns 409 illegal_transition.
☐  allowed_next is returned by the API so the client renders exactly the permitted buttons.</t>
  </si>
  <si>
    <t xml:space="preserve">BE-T02</t>
  </si>
  <si>
    <t xml:space="preserve">Tenant isolation: trait, scope and 404 policy</t>
  </si>
  <si>
    <t xml:space="preserve">1. Every channel-owned model uses the BelongsToChannel trait and carries supply_channel_id with a composite index starting on it.
2. ChannelScope is applied automatically; a query without the scope fails a test.
3. Changing the channel id in a URL returns 404, never 403 (AC-PM-02) — existence is not disclosed.
4. Platform and reference models carry no channel id and are exempt from the scope.</t>
  </si>
  <si>
    <t xml:space="preserve">☐  A channel user cannot read or write another channel row through any path.
☐  The unscoped-query test fails the build if a scope is forgotten.</t>
  </si>
  <si>
    <t xml:space="preserve">BE-T03</t>
  </si>
  <si>
    <t xml:space="preserve">Tenant isolation test suite</t>
  </si>
  <si>
    <t xml:space="preserve">1. Every channel endpoint has a test that authenticates as another channel and expects 404.
2. The suite is mandatory: a new channel endpoint without an isolation test cannot be merged.</t>
  </si>
  <si>
    <t xml:space="preserve">☐  Coverage of channel endpoints by isolation tests is 100 percent.
☐  A deliberately introduced leak is caught by the suite.</t>
  </si>
  <si>
    <t xml:space="preserve">BE-T04</t>
  </si>
  <si>
    <t xml:space="preserve">Create channel</t>
  </si>
  <si>
    <t xml:space="preserve">EP-AD-051</t>
  </si>
  <si>
    <t xml:space="preserve">supply_channels, channel_limits</t>
  </si>
  <si>
    <t xml:space="preserve">1. Accept the full payload: name, slug, legal form, commercial register, documents, coverage, logo, internal note, plan, billing cycle, trial days, limits, discount and the manager block.
2. Return in well under 500ms with status provisioning and provisioning_job_id — do not wait for active.
3. All limits and discounts are integers.
4. The request is idempotent: a retry with the same key returns the same channel.</t>
  </si>
  <si>
    <t xml:space="preserve">☐  The response time budget is met under load test.
☐  A duplicated request creates exactly one channel.
☐  slug uniqueness is enforced by a database constraint, not only by validation.</t>
  </si>
  <si>
    <t xml:space="preserve">BE-T01, BE-C03</t>
  </si>
  <si>
    <t xml:space="preserve">AD-64a, AD-64b, AD-64c</t>
  </si>
  <si>
    <t xml:space="preserve">BE-T05</t>
  </si>
  <si>
    <t xml:space="preserve">Provisioning job and idempotent retry</t>
  </si>
  <si>
    <t xml:space="preserve">EP-AD-053</t>
  </si>
  <si>
    <t xml:space="preserve">provisioning_jobs</t>
  </si>
  <si>
    <t xml:space="preserve">1. The job creates the channel workspace: default roles, manager invite, coverage rows, limit rows and feature flags.
2. On success the channel moves to active; on failure it records the error and stays retryable.
3. Retry is idempotent and safe to call repeatedly.</t>
  </si>
  <si>
    <t xml:space="preserve">☐  A retry after a partial failure completes the remaining steps without duplicating the finished ones.
☐  A failed provisioning never leaves a half-usable channel that can accept orders.</t>
  </si>
  <si>
    <t xml:space="preserve">BE-T04, BE-C10</t>
  </si>
  <si>
    <t xml:space="preserve">AD-65</t>
  </si>
  <si>
    <t xml:space="preserve">BE-T06</t>
  </si>
  <si>
    <t xml:space="preserve">Channel read and update</t>
  </si>
  <si>
    <t xml:space="preserve">EP-AD-052, EP-AD-062</t>
  </si>
  <si>
    <t xml:space="preserve">1. Return the channel with its status, allowed_next, plan, limits, coverage summary and KPI figures.
2. Update requires a reason and is audited.
3. KPI figures are returned as computed, including zeros — never fabricated.</t>
  </si>
  <si>
    <t xml:space="preserve">☐  A brand-new channel returns genuine zeros, not placeholder values.
☐  The update is refused without a reason.</t>
  </si>
  <si>
    <t xml:space="preserve">AD-65, AD-66, AD-67</t>
  </si>
  <si>
    <t xml:space="preserve">BE-T07</t>
  </si>
  <si>
    <t xml:space="preserve">Channel users and manager invite reset</t>
  </si>
  <si>
    <t xml:space="preserve">EP-AD-063, EP-AD-064</t>
  </si>
  <si>
    <t xml:space="preserve">1. List channel users read only.
2. Reset the manager invite with a 72-hour validity; the route is crit and requires password confirmation.
3. Resetting invalidates the previous invite immediately.</t>
  </si>
  <si>
    <t xml:space="preserve">☐  The old invite link stops working the moment a new one is issued.
☐  The route rejects a request without a fresh password confirmation.</t>
  </si>
  <si>
    <t xml:space="preserve">BE-T04, BE-I17</t>
  </si>
  <si>
    <t xml:space="preserve">AD-68, AD-69</t>
  </si>
  <si>
    <t xml:space="preserve">BE-T08</t>
  </si>
  <si>
    <t xml:space="preserve">Coverage and overlap detection</t>
  </si>
  <si>
    <t xml:space="preserve">EP-AD-065A, EP-AD-065B</t>
  </si>
  <si>
    <t xml:space="preserve">channel_zone</t>
  </si>
  <si>
    <t xml:space="preserve">1. Coverage binds a channel to zones, each with its serving warehouse, delivery days, delivery fee, minimum order value and price list.
2. Detect and report overlap with other channels before the save is committed.
3. A save requires a reason.
4. Rep registration validates zone_ids against this coverage.</t>
  </si>
  <si>
    <t xml:space="preserve">☐  Overlap is reported before the write, not discovered afterwards.
☐  A zone outside coverage is rejected on rep registration with 422.</t>
  </si>
  <si>
    <t xml:space="preserve">BE-T04, BE-R03</t>
  </si>
  <si>
    <t xml:space="preserve">AD-70</t>
  </si>
  <si>
    <t xml:space="preserve">BE-T09</t>
  </si>
  <si>
    <t xml:space="preserve">Channel warehouses (read)</t>
  </si>
  <si>
    <t xml:space="preserve">EP-AD-066</t>
  </si>
  <si>
    <t xml:space="preserve">warehouses</t>
  </si>
  <si>
    <t xml:space="preserve">1. Expose the channel warehouse list read only; full warehouse management belongs to Inventory in Layer 2.</t>
  </si>
  <si>
    <t xml:space="preserve">☐  No write route exists on this path in L1.</t>
  </si>
  <si>
    <t xml:space="preserve">AD-71</t>
  </si>
  <si>
    <t xml:space="preserve">BE-T10</t>
  </si>
  <si>
    <t xml:space="preserve">Feature flags: plan versus override</t>
  </si>
  <si>
    <t xml:space="preserve">EP-AD-067</t>
  </si>
  <si>
    <t xml:space="preserve">channel_features</t>
  </si>
  <si>
    <t xml:space="preserve">1. Resolve the effective feature value and return its source: plan or override.
2. The precedence rule is explicit and testable, not implied.</t>
  </si>
  <si>
    <t xml:space="preserve">☐  Every returned value names its source.
☐  Removing an override falls back to the plan value deterministically.</t>
  </si>
  <si>
    <t xml:space="preserve">AD-72</t>
  </si>
  <si>
    <t xml:space="preserve">BE-T11</t>
  </si>
  <si>
    <t xml:space="preserve">Channel usage series</t>
  </si>
  <si>
    <t xml:space="preserve">EP-AD-056</t>
  </si>
  <si>
    <t xml:space="preserve">1. Return a 30-day usage series computed from real counters.
2. An empty or all-zero series is a valid response; no gap filling and no smoothing.</t>
  </si>
  <si>
    <t xml:space="preserve">☐  A channel with no activity returns zeros, not an error and not an empty body.</t>
  </si>
  <si>
    <t xml:space="preserve">AD-73</t>
  </si>
  <si>
    <t xml:space="preserve">BE-T12</t>
  </si>
  <si>
    <t xml:space="preserve">Limits, overrides and plan enforcement</t>
  </si>
  <si>
    <t xml:space="preserve">EP-AD-055</t>
  </si>
  <si>
    <t xml:space="preserve">channel_limits</t>
  </si>
  <si>
    <t xml:space="preserve">1. Override a limit with temporary_until and a mandatory reason.
2. Exceeding a limit returns 423 plan_limit_exceeded with the limit named.
3. All limits are integers; an expired temporary override reverts automatically.</t>
  </si>
  <si>
    <t xml:space="preserve">☐  An expired override reverts without a scheduled job having to run on time.
☐  423 names which limit was hit so the client can explain it.</t>
  </si>
  <si>
    <t xml:space="preserve">BE-T04, BE-T10</t>
  </si>
  <si>
    <t xml:space="preserve">AD-74</t>
  </si>
  <si>
    <t xml:space="preserve">BE-T13</t>
  </si>
  <si>
    <t xml:space="preserve">Channel status transitions</t>
  </si>
  <si>
    <t xml:space="preserve">EP-AD-054</t>
  </si>
  <si>
    <t xml:space="preserve">1. Expose allowed_next on the channel resource and validate every transition against the matrix.
2. Suspension freezes new orders only and does not touch orders in flight.</t>
  </si>
  <si>
    <t xml:space="preserve">☐  A transition absent from allowed_next returns 409 illegal_transition.
☐  Existing orders continue to progress after suspension.</t>
  </si>
  <si>
    <t xml:space="preserve">AD-75</t>
  </si>
  <si>
    <t xml:space="preserve">BE-T14</t>
  </si>
  <si>
    <t xml:space="preserve">Channel data export</t>
  </si>
  <si>
    <t xml:space="preserve">EP-AD-057</t>
  </si>
  <si>
    <t xml:space="preserve">1. Require a password confirmation, then enqueue the export and return job_id.
2. The export is scoped strictly to the one channel.</t>
  </si>
  <si>
    <t xml:space="preserve">☐  The produced file contains no row from another channel.
☐  The request returns immediately.</t>
  </si>
  <si>
    <t xml:space="preserve">BE-T04, BE-C10, BE-I17</t>
  </si>
  <si>
    <t xml:space="preserve">AD-76</t>
  </si>
  <si>
    <t xml:space="preserve">BE-T15</t>
  </si>
  <si>
    <t xml:space="preserve">Channel deletion request</t>
  </si>
  <si>
    <t xml:space="preserve">EP-AD-058</t>
  </si>
  <si>
    <t xml:space="preserve">1. Deletion is permitted only from the archived state.
2. The request requires the exact channel name, a password, a valid 2FA code and a second approver.
3. The response is deletion_request_id — the channel is not deleted by this call.
4. Execution after approval is logical, never a hard delete of operational data.</t>
  </si>
  <si>
    <t xml:space="preserve">☐  A deletion attempt from any state other than archived is refused.
☐  The endpoint never returns a deleted status; only a pending request.</t>
  </si>
  <si>
    <t xml:space="preserve">BE-T13, BE-C05, BE-I15</t>
  </si>
  <si>
    <t xml:space="preserve">AD-77</t>
  </si>
  <si>
    <t xml:space="preserve">BE-T16</t>
  </si>
  <si>
    <t xml:space="preserve">Channel list and export</t>
  </si>
  <si>
    <t xml:space="preserve">EP-AD-059C</t>
  </si>
  <si>
    <t xml:space="preserve">1. Filters: status, plan_id, governorate_id, subscription_status, over_limit and idle — all server side.
2. Columns include retailer, rep, order and GMV counters computed from real data.
3. Export uses the active filters and runs as a job.</t>
  </si>
  <si>
    <t xml:space="preserve">☐  The list query stays inside the interactive budget at production volume.
☐  No counter is estimated or interpolated.</t>
  </si>
  <si>
    <t xml:space="preserve">BE-T04, BE-C09</t>
  </si>
  <si>
    <t xml:space="preserve">AD-61</t>
  </si>
  <si>
    <t xml:space="preserve">BE-T17</t>
  </si>
  <si>
    <t xml:space="preserve">Bulk manager notification</t>
  </si>
  <si>
    <t xml:space="preserve">EP-AD-068</t>
  </si>
  <si>
    <t xml:space="preserve">1. Accept at most fifty channels and dispatch to their managers on the default queue.
2. Return a per-channel result separating delivered from rejected.</t>
  </si>
  <si>
    <t xml:space="preserve">☐  Exceeding fifty is refused with 422.
☐  A failure for one channel does not abort the rest.</t>
  </si>
  <si>
    <t xml:space="preserve">BE-T16, BE-X01</t>
  </si>
  <si>
    <t xml:space="preserve">AD-62</t>
  </si>
  <si>
    <t xml:space="preserve">BE-T18</t>
  </si>
  <si>
    <t xml:space="preserve">Plan change preview and apply</t>
  </si>
  <si>
    <t xml:space="preserve">EP-AD-059A, EP-AD-059B</t>
  </si>
  <si>
    <t xml:space="preserve">1. Preview returns the delta in limits and features without writing anything.
2. Apply requires a reason and moves the subscription atomically.
3. A downgrade that would put the channel over a new limit is reported in the preview.</t>
  </si>
  <si>
    <t xml:space="preserve">☐  Preview writes nothing, provably.
☐  A blocking downgrade is surfaced before the apply, not after.</t>
  </si>
  <si>
    <t xml:space="preserve">BE-T10, BE-T12</t>
  </si>
  <si>
    <t xml:space="preserve">AD-63</t>
  </si>
  <si>
    <t xml:space="preserve">BE-T19</t>
  </si>
  <si>
    <t xml:space="preserve">Channel join applications</t>
  </si>
  <si>
    <t xml:space="preserve">channel_applications</t>
  </si>
  <si>
    <t xml:space="preserve">1. GET /platform/channel-applications with filter[status]=under_review.
2. Decide approve or reject with a mandatory reason; approval also carries plan_id and trial_days.
3. Approval creates a channel in provisioning and hands off to the provisioning job.</t>
  </si>
  <si>
    <t xml:space="preserve">☐  An approved application produces exactly one channel.
☐  A rejection without a reason is refused.</t>
  </si>
  <si>
    <t xml:space="preserve">BE-T20</t>
  </si>
  <si>
    <t xml:space="preserve">Rep invite link issuance</t>
  </si>
  <si>
    <t xml:space="preserve">1. After provisioning, issue a signed invite carrying channel_id for the rep deep link b2b-rep://register?channel_id={id}.
2. The invite is bound to one channel and can be revoked and reissued.
3. No public endpoint lists channels for reps under any circumstance.</t>
  </si>
  <si>
    <t xml:space="preserve">☐  A revoked invite stops working immediately.
☐  A tampered channel_id fails signature verification.</t>
  </si>
  <si>
    <t xml:space="preserve">BE-X01</t>
  </si>
  <si>
    <t xml:space="preserve">WhatsApp Business API adapter</t>
  </si>
  <si>
    <t xml:space="preserve">integration_settings</t>
  </si>
  <si>
    <t xml:space="preserve">1. Implement the OTP delivery contract behind an interface; the Identity module never calls the vendor directly.
2. Delivery runs on the critical queue with retry and a delivery record.
3. Credentials live in configuration, never in code.</t>
  </si>
  <si>
    <t xml:space="preserve">☐  Identity has no compile-time knowledge of the provider.
☐  The provider can be swapped in configuration with no code change.</t>
  </si>
  <si>
    <t xml:space="preserve">BE-X02</t>
  </si>
  <si>
    <t xml:space="preserve">SMS fallback adapter</t>
  </si>
  <si>
    <t xml:space="preserve">1. A second implementation of the same contract, selectable at runtime (REQ-CM-003).
2. Automatic fallback on WhatsApp failure, plus explicit user choice through prefer_channel.
3. channel_used is reported back to the client.</t>
  </si>
  <si>
    <t xml:space="preserve">☐  Switching the provider requires no application release.
☐  A WhatsApp outage does not stop registration.</t>
  </si>
  <si>
    <t xml:space="preserve">BE-X03</t>
  </si>
  <si>
    <t xml:space="preserve">Media storage adapter</t>
  </si>
  <si>
    <t xml:space="preserve">1. Uploads are type and size validated, reprocessed, and stored outside the web root.
2. Used in L1 by channel documents and logos.</t>
  </si>
  <si>
    <t xml:space="preserve">☐  A file with a spoofed extension is rejected.
☐  No uploaded file is reachable by a direct guessable URL.</t>
  </si>
  <si>
    <t xml:space="preserve">BE-X04</t>
  </si>
  <si>
    <t xml:space="preserve">Error tracking adapter</t>
  </si>
  <si>
    <t xml:space="preserve">1. Report exceptions with request context while masking phone numbers and tokens.</t>
  </si>
  <si>
    <t xml:space="preserve">☐  No report contains a full phone number or a token.</t>
  </si>
  <si>
    <t xml:space="preserve">BE-X05</t>
  </si>
  <si>
    <t xml:space="preserve">Integration health and settings</t>
  </si>
  <si>
    <t xml:space="preserve">integration_health, integration_settings</t>
  </si>
  <si>
    <t xml:space="preserve">1. Record per-provider health: last success, last failure and error rate.
2. Expose the state to the platform system-health view and alert on degradation.</t>
  </si>
  <si>
    <t xml:space="preserve">☐  A provider outage is visible before users report it.</t>
  </si>
  <si>
    <t xml:space="preserve">BE-Q01</t>
  </si>
  <si>
    <t xml:space="preserve">Quality</t>
  </si>
  <si>
    <t xml:space="preserve">Architecture test enforcement gate</t>
  </si>
  <si>
    <t xml:space="preserve">1. Deptrac plus the Pest architecture suite run on every pull request and block the merge on failure.</t>
  </si>
  <si>
    <t xml:space="preserve">☐  A deliberate boundary violation is rejected by CI, not by a reviewer.</t>
  </si>
  <si>
    <t xml:space="preserve">BE-Q02</t>
  </si>
  <si>
    <t xml:space="preserve">Tenant isolation coverage gate</t>
  </si>
  <si>
    <t xml:space="preserve">1. A channel endpoint without an isolation test fails the coverage gate.</t>
  </si>
  <si>
    <t xml:space="preserve">☐  Isolation coverage of channel endpoints is 100 percent and enforced automatically.</t>
  </si>
  <si>
    <t xml:space="preserve">BE-Q03</t>
  </si>
  <si>
    <t xml:space="preserve">Contract snapshot tests for mobile resources</t>
  </si>
  <si>
    <t xml:space="preserve">1. Snapshot every resource consumed by the two mobile apps.
2. A shape change fails the test and forces a deliberate contract decision.</t>
  </si>
  <si>
    <t xml:space="preserve">☐  Renaming a field in a resource breaks the build rather than the app in the field.</t>
  </si>
  <si>
    <t xml:space="preserve">BE-Q04</t>
  </si>
  <si>
    <t xml:space="preserve">Authorisation bypass test suite</t>
  </si>
  <si>
    <t xml:space="preserve">1. For every write endpoint, attempt the call without the permission and expect 403 with the permission key.
2. For every guard, attempt a token from another guard and expect 403 wrong_guard.</t>
  </si>
  <si>
    <t xml:space="preserve">☐  Feature coverage of authorisation paths is at least 75 percent as required by DOC-02 §17.</t>
  </si>
  <si>
    <t xml:space="preserve">BE-Q05</t>
  </si>
  <si>
    <t xml:space="preserve">Load test on the identity path</t>
  </si>
  <si>
    <t xml:space="preserve">1. k6 scenario covering OTP request, verify and session at the target concurrency.
2. Measure the queue depth on the critical queue under load.</t>
  </si>
  <si>
    <t xml:space="preserve">☐  The identity path holds its latency budget at the target concurrency.
☐  The critical queue does not back up behind other work.</t>
  </si>
  <si>
    <t xml:space="preserve">BE-Q06</t>
  </si>
  <si>
    <t xml:space="preserve">Security hardening pass</t>
  </si>
  <si>
    <t xml:space="preserve">1. TLS enforced, full security headers, CSRF protection on the dashboards.
2. Sensitive fields encrypted at rest; phone numbers masked in logs.
3. Strict rate limiting on OTP and login with progressive temporary blocks.
4. Encrypted daily off-server backup with a documented restore test.</t>
  </si>
  <si>
    <t xml:space="preserve">☐  A plain HTTP request is refused, not redirected.
☐  The restore test is executed and recorded before L1 closes.</t>
  </si>
  <si>
    <t xml:space="preserve">BE-C08, BE-A16</t>
  </si>
  <si>
    <t xml:space="preserve">Delivery plan — every figure is a live formula over the Backlog sheet</t>
  </si>
  <si>
    <t xml:space="preserve">The sprint gate is the backend sprint that must close before the corresponding frontend issues can be pulled. It is a dependency statement, not a capacity plan.</t>
  </si>
  <si>
    <t xml:space="preserve">Backend points by sprint gate and module</t>
  </si>
  <si>
    <t xml:space="preserve">Total</t>
  </si>
  <si>
    <t xml:space="preserve">Backend issue count by sprint gate and module</t>
  </si>
  <si>
    <t xml:space="preserve">Frontend issues unblocked per backend sprint</t>
  </si>
  <si>
    <t xml:space="preserve">Frontend issues waiting</t>
  </si>
  <si>
    <t xml:space="preserve">Backend points required</t>
  </si>
  <si>
    <t xml:space="preserve">What it delivers</t>
  </si>
  <si>
    <t xml:space="preserve">Technical foundation, Core module, health endpoint, guardrails</t>
  </si>
  <si>
    <t xml:space="preserve">Identity: four guards, OTP, registration, sessions, 2FA, integrations</t>
  </si>
  <si>
    <t xml:space="preserve">Access: permission catalog, roles, dual approval, audit, reviews</t>
  </si>
  <si>
    <t xml:space="preserve">Reference: seven entities, FX, public refs, import</t>
  </si>
  <si>
    <t xml:space="preserve">Tenancy: channels, provisioning, coverage, limits, isolation</t>
  </si>
  <si>
    <t xml:space="preserve">•</t>
  </si>
  <si>
    <t xml:space="preserve">SP-00 and SP-01 together are 60 percent of the backend effort and unblock nothing visible. That is correct: the foundation is where the boundaries, the money type, the idempotency and the audit trail are decided, and none of them can be retrofitted.</t>
  </si>
  <si>
    <t xml:space="preserve">SP-04 has the smallest frontend fan-out per point, but it is the gate for the rep app entirely: without a real channel_id there is no invite link, and without an invite link the rep app cannot register anyone.</t>
  </si>
  <si>
    <t xml:space="preserve">The backend can run one sprint ahead of the frontend throughout. It must never run behind: a frontend team blocked on a contract is a team writing mock data, and mock data is what the frontend guardrails exist to reject.</t>
  </si>
  <si>
    <t xml:space="preserve">Blocker</t>
  </si>
  <si>
    <t xml:space="preserve">Blocker title</t>
  </si>
  <si>
    <t xml:space="preserve">Blocker module</t>
  </si>
  <si>
    <t xml:space="preserve">Blocker sprint</t>
  </si>
  <si>
    <t xml:space="preserve">Blocked</t>
  </si>
  <si>
    <t xml:space="preserve">Blocked title</t>
  </si>
  <si>
    <t xml:space="preserve">Blocked module</t>
  </si>
  <si>
    <t xml:space="preserve">Blocked sprint</t>
  </si>
  <si>
    <t xml:space="preserve">Cross-module</t>
  </si>
  <si>
    <t xml:space="preserve">EP-ID</t>
  </si>
  <si>
    <t xml:space="preserve">Built by</t>
  </si>
  <si>
    <t xml:space="preserve">Backend issue title</t>
  </si>
  <si>
    <t xml:space="preserve">Frontend consumers</t>
  </si>
  <si>
    <t xml:space="preserve">Consumer count</t>
  </si>
  <si>
    <t xml:space="preserve">EP-AD-001</t>
  </si>
  <si>
    <t xml:space="preserve">AD-10</t>
  </si>
  <si>
    <t xml:space="preserve">EP-AD-002</t>
  </si>
  <si>
    <t xml:space="preserve">AD-11</t>
  </si>
  <si>
    <t xml:space="preserve">EP-AD-003</t>
  </si>
  <si>
    <t xml:space="preserve">AD-13</t>
  </si>
  <si>
    <t xml:space="preserve">EP-AD-004</t>
  </si>
  <si>
    <t xml:space="preserve">AD-12</t>
  </si>
  <si>
    <t xml:space="preserve">EP-AD-006</t>
  </si>
  <si>
    <t xml:space="preserve">EP-AD-007</t>
  </si>
  <si>
    <t xml:space="preserve">None yet in the L1 frontend backlog</t>
  </si>
  <si>
    <t xml:space="preserve">EP-AD-030</t>
  </si>
  <si>
    <t xml:space="preserve">EP-AD-031</t>
  </si>
  <si>
    <t xml:space="preserve">EP-AD-032</t>
  </si>
  <si>
    <t xml:space="preserve">AD-42</t>
  </si>
  <si>
    <t xml:space="preserve">EP-AD-033</t>
  </si>
  <si>
    <t xml:space="preserve">EP-AD-034</t>
  </si>
  <si>
    <t xml:space="preserve">AD-49</t>
  </si>
  <si>
    <t xml:space="preserve">EP-AD-035A</t>
  </si>
  <si>
    <t xml:space="preserve">EP-AD-035B</t>
  </si>
  <si>
    <t xml:space="preserve">EP-AD-036A</t>
  </si>
  <si>
    <t xml:space="preserve">EP-AD-036B</t>
  </si>
  <si>
    <t xml:space="preserve">EP-AD-037A</t>
  </si>
  <si>
    <t xml:space="preserve">EP-AD-037B</t>
  </si>
  <si>
    <t xml:space="preserve">EP-AD-038A</t>
  </si>
  <si>
    <t xml:space="preserve">EP-AD-038B</t>
  </si>
  <si>
    <t xml:space="preserve">EP-AD-039A</t>
  </si>
  <si>
    <t xml:space="preserve">EP-AD-039B</t>
  </si>
  <si>
    <t xml:space="preserve">EP-AD-042A</t>
  </si>
  <si>
    <t xml:space="preserve">EP-AD-042B</t>
  </si>
  <si>
    <t xml:space="preserve">EP-AD-042C</t>
  </si>
  <si>
    <t xml:space="preserve">EP-AD-042D</t>
  </si>
  <si>
    <t xml:space="preserve">EP-AD-042E</t>
  </si>
  <si>
    <t xml:space="preserve">EP-AD-042F</t>
  </si>
  <si>
    <t xml:space="preserve">EP-AD-042G</t>
  </si>
  <si>
    <t xml:space="preserve">EP-AD-043A</t>
  </si>
  <si>
    <t xml:space="preserve">EP-AD-043B</t>
  </si>
  <si>
    <t xml:space="preserve">EP-AD-043C</t>
  </si>
  <si>
    <t xml:space="preserve">EP-AD-043D</t>
  </si>
  <si>
    <t xml:space="preserve">EP-AD-043E</t>
  </si>
  <si>
    <t xml:space="preserve">EP-AD-043F</t>
  </si>
  <si>
    <t xml:space="preserve">EP-AD-052</t>
  </si>
  <si>
    <t xml:space="preserve">EP-AD-059A</t>
  </si>
  <si>
    <t xml:space="preserve">EP-AD-059B</t>
  </si>
  <si>
    <t xml:space="preserve">EP-AD-062</t>
  </si>
  <si>
    <t xml:space="preserve">AD-67</t>
  </si>
  <si>
    <t xml:space="preserve">EP-AD-063</t>
  </si>
  <si>
    <t xml:space="preserve">AD-68</t>
  </si>
  <si>
    <t xml:space="preserve">EP-AD-064</t>
  </si>
  <si>
    <t xml:space="preserve">AD-69</t>
  </si>
  <si>
    <t xml:space="preserve">EP-AD-065A</t>
  </si>
  <si>
    <t xml:space="preserve">EP-AD-065B</t>
  </si>
  <si>
    <t xml:space="preserve">EP-AD-159A</t>
  </si>
  <si>
    <t xml:space="preserve">EP-AD-159B</t>
  </si>
  <si>
    <t xml:space="preserve">AD-14</t>
  </si>
  <si>
    <t xml:space="preserve">EP-AD-159C</t>
  </si>
  <si>
    <t xml:space="preserve">AD-15</t>
  </si>
  <si>
    <t xml:space="preserve">EP-AD-159D</t>
  </si>
  <si>
    <t xml:space="preserve">EP-AD-159E</t>
  </si>
  <si>
    <t xml:space="preserve">EP-AD-159F</t>
  </si>
  <si>
    <t xml:space="preserve">EP-AD-159G</t>
  </si>
  <si>
    <t xml:space="preserve">EP-AD-159H</t>
  </si>
  <si>
    <t xml:space="preserve">EP-AD-159I</t>
  </si>
  <si>
    <t xml:space="preserve">EP-CH-001</t>
  </si>
  <si>
    <t xml:space="preserve">CH-02</t>
  </si>
  <si>
    <t xml:space="preserve">EP-CH-002</t>
  </si>
  <si>
    <t xml:space="preserve">CH-03</t>
  </si>
  <si>
    <t xml:space="preserve">RT-03, RP-01, RP-03</t>
  </si>
  <si>
    <t xml:space="preserve">RT-06, RP-01, RP-03</t>
  </si>
  <si>
    <t xml:space="preserve">RT-05, RP-01, RP-03</t>
  </si>
  <si>
    <t xml:space="preserve">RT-01, RT-11, RT-13, RP-08, RP-09</t>
  </si>
  <si>
    <t xml:space="preserve">RT-15, RP-09</t>
  </si>
  <si>
    <t xml:space="preserve">FE-CORE-05, RT-07, RP-06</t>
  </si>
  <si>
    <t xml:space="preserve">Table</t>
  </si>
  <si>
    <t xml:space="preserve">Owned by issue</t>
  </si>
  <si>
    <t xml:space="preserve">Notes</t>
  </si>
  <si>
    <t xml:space="preserve">role_permission</t>
  </si>
  <si>
    <t xml:space="preserve">roles</t>
  </si>
  <si>
    <t xml:space="preserve">Generic dual-approval store; every sensitive action defers through it.</t>
  </si>
  <si>
    <t xml:space="preserve">Immutable: no update and no delete path exists. Two-year retention (BR-16).</t>
  </si>
  <si>
    <t xml:space="preserve">Stores the response for 24 hours; the technical basis of REQ-IN-01 and AC-05.</t>
  </si>
  <si>
    <t xml:space="preserve">devices</t>
  </si>
  <si>
    <t xml:space="preserve">Codes hashed, five-minute expiry, attempt capped.</t>
  </si>
  <si>
    <t xml:space="preserve">warehouse_users</t>
  </si>
  <si>
    <t xml:space="preserve">integration_health</t>
  </si>
  <si>
    <t xml:space="preserve">rate is an integer. A rate change never reprices an existing order (BR-AD-19).</t>
  </si>
  <si>
    <t xml:space="preserve">Status changes go through route 034, not the 043 family — documented contract exception.</t>
  </si>
  <si>
    <t xml:space="preserve">Coverage: warehouse, delivery days, delivery fee, minimum order value, price list per zone.</t>
  </si>
  <si>
    <t xml:space="preserve">The tenant root. Every channel-owned table carries supply_channel_id.</t>
  </si>
  <si>
    <t xml:space="preserve">Event</t>
  </si>
  <si>
    <t xml:space="preserve">Emitted by</t>
  </si>
  <si>
    <t xml:space="preserve">Listened to by</t>
  </si>
  <si>
    <t xml:space="preserve">Effect</t>
  </si>
  <si>
    <t xml:space="preserve">Ordering, Notification, Reporting</t>
  </si>
  <si>
    <t xml:space="preserve">Freezes new orders only (BR-AD-14)</t>
  </si>
  <si>
    <t xml:space="preserve">L1</t>
  </si>
  <si>
    <t xml:space="preserve">Catalog, Tenancy, Ordering</t>
  </si>
  <si>
    <t xml:space="preserve">Blocks new use without touching existing records</t>
  </si>
  <si>
    <t xml:space="preserve">OrderSubmitted</t>
  </si>
  <si>
    <t xml:space="preserve">Inventory, Notification, Reporting</t>
  </si>
  <si>
    <t xml:space="preserve">No reservation yet — channel notification only</t>
  </si>
  <si>
    <t xml:space="preserve">Layer 2</t>
  </si>
  <si>
    <t xml:space="preserve">SubOrderConfirmed</t>
  </si>
  <si>
    <t xml:space="preserve">Inventory, Fulfillment, Notification</t>
  </si>
  <si>
    <t xml:space="preserve">Reserve stock and create the picking list (BR-05)</t>
  </si>
  <si>
    <t xml:space="preserve">HandoverCompleted</t>
  </si>
  <si>
    <t xml:space="preserve">Inventory, Ordering, Notification</t>
  </si>
  <si>
    <t xml:space="preserve">Actual stock deduction and the on_the_way state</t>
  </si>
  <si>
    <t xml:space="preserve">Layer 3</t>
  </si>
  <si>
    <t xml:space="preserve">DeliveryCompleted</t>
  </si>
  <si>
    <t xml:space="preserve">Finance, Loyalty, Notification</t>
  </si>
  <si>
    <t xml:space="preserve">Generate the invoice, create the receivable, award points</t>
  </si>
  <si>
    <t xml:space="preserve">PaymentRecorded</t>
  </si>
  <si>
    <t xml:space="preserve">Finance/Wallet, Notification, Reporting</t>
  </si>
  <si>
    <t xml:space="preserve">Increase the rep wallet and reduce the retailer receivable</t>
  </si>
  <si>
    <t xml:space="preserve">ReturnApproved</t>
  </si>
  <si>
    <t xml:space="preserve">Finance, Inventory</t>
  </si>
  <si>
    <t xml:space="preserve">Credit note plus stock return according to condition</t>
  </si>
  <si>
    <t xml:space="preserve">PriceListChanged</t>
  </si>
  <si>
    <t xml:space="preserve">Sync, Reporting</t>
  </si>
  <si>
    <t xml:space="preserve">Marks data for differential sync; never touches a live order</t>
  </si>
  <si>
    <t xml:space="preserve">Area</t>
  </si>
  <si>
    <t xml:space="preserve">Binding convention</t>
  </si>
  <si>
    <t xml:space="preserve">Source</t>
  </si>
  <si>
    <t xml:space="preserve">Enforced by</t>
  </si>
  <si>
    <t xml:space="preserve">app-modules/ with local Composer path repositories; boundaries enforced by Deptrac in CI</t>
  </si>
  <si>
    <t xml:space="preserve">DOC-10 §1.3, §4.3</t>
  </si>
  <si>
    <t xml:space="preserve">BE-F02 / BE-F03</t>
  </si>
  <si>
    <t xml:space="preserve">Dependency direction</t>
  </si>
  <si>
    <t xml:space="preserve">Downward only. Coordination → Domain → Foundation. Foundation depends on nothing.</t>
  </si>
  <si>
    <t xml:space="preserve">DOC-10 §2.1</t>
  </si>
  <si>
    <t xml:space="preserve">Cross-module calls</t>
  </si>
  <si>
    <t xml:space="preserve">Public Contracts or events only. Never another module Eloquent model, never its tables.</t>
  </si>
  <si>
    <t xml:space="preserve">DOC-10 §2.2</t>
  </si>
  <si>
    <t xml:space="preserve">Cross-module relations</t>
  </si>
  <si>
    <t xml:space="preserve">By identifier, never by an Eloquent relation across a boundary.</t>
  </si>
  <si>
    <t xml:space="preserve">Notification, not control. The emitting module does not wait for a result.</t>
  </si>
  <si>
    <t xml:space="preserve">supply_channel_id on every channel-owned table with a composite index starting on it; ChannelScope applied automatically.</t>
  </si>
  <si>
    <t xml:space="preserve">DOC-10 §5.1, DOC-02 §7.4</t>
  </si>
  <si>
    <t xml:space="preserve">Tenancy failure mode</t>
  </si>
  <si>
    <t xml:space="preserve">A foreign channel id in the URL returns 404, not 403.</t>
  </si>
  <si>
    <t xml:space="preserve">DOC-10 §5.1 (AC-PM-02)</t>
  </si>
  <si>
    <t xml:space="preserve">Money</t>
  </si>
  <si>
    <t xml:space="preserve">bigInteger in the smallest currency unit plus a Money value object. float and double are forbidden.</t>
  </si>
  <si>
    <t xml:space="preserve">DOC-10 §5.2 (BR-AD-18)</t>
  </si>
  <si>
    <t xml:space="preserve">Money presentation</t>
  </si>
  <si>
    <t xml:space="preserve">Rounding happens in MoneyResource only; storage stays integer.</t>
  </si>
  <si>
    <t xml:space="preserve">DOC-10 §5.2</t>
  </si>
  <si>
    <t xml:space="preserve">State machines</t>
  </si>
  <si>
    <t xml:space="preserve">status is guarded and changed only through the lifecycle service; every transition is logged; an illegal transition raises 409.</t>
  </si>
  <si>
    <t xml:space="preserve">DOC-10 §5.3 (BR-AD-13)</t>
  </si>
  <si>
    <t xml:space="preserve">Idempotency</t>
  </si>
  <si>
    <t xml:space="preserve">Every write accepts X-Idempotency-Key. Completed key replays, in-flight key returns 409, new key executes and stores for 24 hours.</t>
  </si>
  <si>
    <t xml:space="preserve">DOC-10 §5.4 (BR-AD-24)</t>
  </si>
  <si>
    <t xml:space="preserve">Response envelope</t>
  </si>
  <si>
    <t xml:space="preserve">Success { data, meta }, error { error: { code, message, details } }. The code is the contract; the message is for the human.</t>
  </si>
  <si>
    <t xml:space="preserve">DOC-10 §5.5</t>
  </si>
  <si>
    <t xml:space="preserve">Naming — tables</t>
  </si>
  <si>
    <t xml:space="preserve">Plural snake_case, for example sub_orders.</t>
  </si>
  <si>
    <t xml:space="preserve">DOC-10 §5.6</t>
  </si>
  <si>
    <t xml:space="preserve">Naming — routes</t>
  </si>
  <si>
    <t xml:space="preserve">kebab-case and plural, for example /api/v1/channel/sub-orders.</t>
  </si>
  <si>
    <t xml:space="preserve">Naming — permissions</t>
  </si>
  <si>
    <t xml:space="preserve">Taken from the DOC-08 catalog literally, for example sc.orders.confirm.</t>
  </si>
  <si>
    <t xml:space="preserve">Naming — events and jobs</t>
  </si>
  <si>
    <t xml:space="preserve">Events are past tense (SubOrderConfirmed); jobs and actions are imperative verbs (SubmitOrder).</t>
  </si>
  <si>
    <t xml:space="preserve">Queues</t>
  </si>
  <si>
    <t xml:space="preserve">critical (OTP, handover, payments, outbox) · default · media · reports, supervised by Horizon.</t>
  </si>
  <si>
    <t xml:space="preserve">DOC-10 §5.7</t>
  </si>
  <si>
    <t xml:space="preserve">Testing</t>
  </si>
  <si>
    <t xml:space="preserve">Unit ≥ 90% on engines and money; feature ≥ 75% on endpoints, permissions and isolation; Larastan level 6.</t>
  </si>
  <si>
    <t xml:space="preserve">DOC-02 §17</t>
  </si>
  <si>
    <t xml:space="preserve">HTTP</t>
  </si>
  <si>
    <t xml:space="preserve">Internal codes</t>
  </si>
  <si>
    <t xml:space="preserve">When</t>
  </si>
  <si>
    <t xml:space="preserve">Owning issue</t>
  </si>
  <si>
    <t xml:space="preserve">401</t>
  </si>
  <si>
    <t xml:space="preserve">unauthenticated, token_revoked</t>
  </si>
  <si>
    <t xml:space="preserve">Authentication failed or the token was revoked</t>
  </si>
  <si>
    <t xml:space="preserve">BE-C02 / BE-I09</t>
  </si>
  <si>
    <t xml:space="preserve">403</t>
  </si>
  <si>
    <t xml:space="preserve">wrong_guard, insufficient_permission, requires_2fa, requires_password_confirm, sod_violation</t>
  </si>
  <si>
    <t xml:space="preserve">Guard or permission failure, or a step-up challenge</t>
  </si>
  <si>
    <t xml:space="preserve">BE-C02 / BE-A16 / BE-I17</t>
  </si>
  <si>
    <t xml:space="preserve">404</t>
  </si>
  <si>
    <t xml:space="preserve">not_found</t>
  </si>
  <si>
    <t xml:space="preserve">Outside the tenant scope, or genuinely absent — existence is never disclosed</t>
  </si>
  <si>
    <t xml:space="preserve">409</t>
  </si>
  <si>
    <t xml:space="preserve">illegal_transition, operation_in_progress, stale_version, idempotency_key_conflict, conflict</t>
  </si>
  <si>
    <t xml:space="preserve">State conflict or an operation already in flight</t>
  </si>
  <si>
    <t xml:space="preserve">BE-C03 / BE-C07</t>
  </si>
  <si>
    <t xml:space="preserve">422</t>
  </si>
  <si>
    <t xml:space="preserve">validation_failed, ref_in_use</t>
  </si>
  <si>
    <t xml:space="preserve">Input validation, keyed by field in details</t>
  </si>
  <si>
    <t xml:space="preserve">423</t>
  </si>
  <si>
    <t xml:space="preserve">plan_limit_exceeded</t>
  </si>
  <si>
    <t xml:space="preserve">The channel exceeded a plan limit</t>
  </si>
  <si>
    <t xml:space="preserve">426</t>
  </si>
  <si>
    <t xml:space="preserve">upgrade_required</t>
  </si>
  <si>
    <t xml:space="preserve">The app version is below the supported minimum</t>
  </si>
  <si>
    <t xml:space="preserve">429</t>
  </si>
  <si>
    <t xml:space="preserve">rate_limited</t>
  </si>
  <si>
    <t xml:space="preserve">Rate limit exceeded; Retry-After is set</t>
  </si>
  <si>
    <t xml:space="preserve">503</t>
  </si>
  <si>
    <t xml:space="preserve">maintenance_mode</t>
  </si>
  <si>
    <t xml:space="preserve">Planned maintenance</t>
  </si>
  <si>
    <t xml:space="preserve">Rule</t>
  </si>
  <si>
    <t xml:space="preserve">Statement</t>
  </si>
  <si>
    <t xml:space="preserve">Owning module</t>
  </si>
  <si>
    <t xml:space="preserve">Enforced in</t>
  </si>
  <si>
    <t xml:space="preserve">BR-01</t>
  </si>
  <si>
    <t xml:space="preserve">A multi-channel order is split automatically at submission into independent sub-orders, each with its own number, invoice, route and rep.</t>
  </si>
  <si>
    <t xml:space="preserve">BR-02</t>
  </si>
  <si>
    <t xml:space="preserve">The supply channel name is not disclosed to the retailer before the sub-order is confirmed.</t>
  </si>
  <si>
    <t xml:space="preserve">Ordering / Core</t>
  </si>
  <si>
    <t xml:space="preserve">BR-03</t>
  </si>
  <si>
    <t xml:space="preserve">The rep name and phone are not disclosed before the order reaches on_the_way.</t>
  </si>
  <si>
    <t xml:space="preserve">BR-04</t>
  </si>
  <si>
    <t xml:space="preserve">The price is frozen on the order at submission and is unaffected by any later price-list change.</t>
  </si>
  <si>
    <t xml:space="preserve">BR-05</t>
  </si>
  <si>
    <t xml:space="preserve">Stock reservation starts at confirmation; the actual deduction happens at handover to the rep.</t>
  </si>
  <si>
    <t xml:space="preserve">BR-06</t>
  </si>
  <si>
    <t xml:space="preserve">Cancellation by the retailer is permitted in the pending state only.</t>
  </si>
  <si>
    <t xml:space="preserve">BR-07</t>
  </si>
  <si>
    <t xml:space="preserve">The cart is emptied automatically after a successful submission and held locally before it.</t>
  </si>
  <si>
    <t xml:space="preserve">BR-08</t>
  </si>
  <si>
    <t xml:space="preserve">A composite offer is indivisible on add, remove and return.</t>
  </si>
  <si>
    <t xml:space="preserve">BR-09</t>
  </si>
  <si>
    <t xml:space="preserve">An invoice discount applies only to the portion of the multi-channel order belonging to that channel.</t>
  </si>
  <si>
    <t xml:space="preserve">Promotion / Finance</t>
  </si>
  <si>
    <t xml:space="preserve">BR-10</t>
  </si>
  <si>
    <t xml:space="preserve">A posted invoice cannot be edited; corrections are made by a linked credit or debit note.</t>
  </si>
  <si>
    <t xml:space="preserve">BR-11</t>
  </si>
  <si>
    <t xml:space="preserve">Every payment is documented by a unique receipt number shared between the rep and retailer apps to prevent double entry.</t>
  </si>
  <si>
    <t xml:space="preserve">Finance / Core</t>
  </si>
  <si>
    <t xml:space="preserve">L1 (idempotency basis)</t>
  </si>
  <si>
    <t xml:space="preserve">BR-12</t>
  </si>
  <si>
    <t xml:space="preserve">A rep may not exceed the discount cap or the cash-collection cap set for them.</t>
  </si>
  <si>
    <t xml:space="preserve">Delivery / Finance</t>
  </si>
  <si>
    <t xml:space="preserve">BR-13</t>
  </si>
  <si>
    <t xml:space="preserve">An accepted return re-enters stock according to the warehouse inspection, not the requester claim.</t>
  </si>
  <si>
    <t xml:space="preserve">Returns / Inventory</t>
  </si>
  <si>
    <t xml:space="preserve">BR-14</t>
  </si>
  <si>
    <t xml:space="preserve">The retailer sees a logical availability state and never the numeric stock quantity.</t>
  </si>
  <si>
    <t xml:space="preserve">Inventory / Catalog</t>
  </si>
  <si>
    <t xml:space="preserve">BR-15</t>
  </si>
  <si>
    <t xml:space="preserve">Products, prices and offers are always filtered by three criteria together: zone, activity type and retailer group.</t>
  </si>
  <si>
    <t xml:space="preserve">Catalog / Pricing</t>
  </si>
  <si>
    <t xml:space="preserve">BR-16</t>
  </si>
  <si>
    <t xml:space="preserve">Every operation that changes financial or inventory data is written to the audit log and is never hard deleted.</t>
  </si>
  <si>
    <t xml:space="preserve">BR-17</t>
  </si>
  <si>
    <t xml:space="preserve">A read notification is hidden from the counter but is not deleted from the log.</t>
  </si>
  <si>
    <t xml:space="preserve">Layer 4</t>
  </si>
  <si>
    <t xml:space="preserve">BR-18</t>
  </si>
  <si>
    <t xml:space="preserve">Date and time are presented in Arabic format in local Damascus time across every interface.</t>
  </si>
  <si>
    <t xml:space="preserve">BR-19</t>
  </si>
  <si>
    <t xml:space="preserve">An order may not be assigned to a rep who is off duty or outside their zones.</t>
  </si>
  <si>
    <t xml:space="preserve">Ordering / Delivery</t>
  </si>
  <si>
    <t xml:space="preserve">BR-20</t>
  </si>
  <si>
    <t xml:space="preserve">An offer that expires or runs out of quota is removed from unsent carts with a notice before confirmation.</t>
  </si>
  <si>
    <t xml:space="preserve">REQ-IN-01</t>
  </si>
  <si>
    <t xml:space="preserve">The receipt number is generated by one side and read by the other; two payments with the same number are never accepted, even across repeated sync.</t>
  </si>
  <si>
    <t xml:space="preserve">Core / Finance</t>
  </si>
  <si>
    <t xml:space="preserve">REQ-IN-02</t>
  </si>
  <si>
    <t xml:space="preserve">Handover requires dual confirmation: stock is not deducted and the state does not move to on_the_way on one confirmation alone.</t>
  </si>
  <si>
    <t xml:space="preserve">REQ-IN-03</t>
  </si>
  <si>
    <t xml:space="preserve">An assigned order appears in the rep accept queue; rejection returns it to unassigned with a reason and an immediate channel alert.</t>
  </si>
  <si>
    <t xml:space="preserve">REQ-IN-04</t>
  </si>
  <si>
    <t xml:space="preserve">A return may be raised by either app, decided only by the channel, and its physical condition is determined by the warehouse.</t>
  </si>
  <si>
    <t xml:space="preserve">REQ-IN-05</t>
  </si>
  <si>
    <t xml:space="preserve">Both parties see the same delivery line list and any quantity edit changes the invoice amount for both.</t>
  </si>
  <si>
    <t xml:space="preserve">REQ-IN-06</t>
  </si>
  <si>
    <t xml:space="preserve">Channel and rep identity are withheld at the data layer, not at the presentation layer.</t>
  </si>
  <si>
    <t xml:space="preserve">Core / Tenancy</t>
  </si>
  <si>
    <t xml:space="preserve">L1 (enforced by design)</t>
  </si>
  <si>
    <t xml:space="preserve">REQ-IN-07</t>
  </si>
  <si>
    <t xml:space="preserve">Pricing is computed on the server only; no local pricing logic is permitted beyond a clearly marked temporary estimate.</t>
  </si>
  <si>
    <t xml:space="preserve">REQ-IN-08</t>
  </si>
  <si>
    <t xml:space="preserve">The multi-channel split happens on the server at submission; the retailer sees one order and each channel sees only its part.</t>
  </si>
  <si>
    <t xml:space="preserve">Risk</t>
  </si>
  <si>
    <t xml:space="preserve">Likelihood</t>
  </si>
  <si>
    <t xml:space="preserve">Impact</t>
  </si>
  <si>
    <t xml:space="preserve">Mitigation</t>
  </si>
  <si>
    <t xml:space="preserve">Module boundaries decay into folder names because nothing enforces them.</t>
  </si>
  <si>
    <t xml:space="preserve">Pricing logic leaks into Ordering; the exit path to a separate service is lost.</t>
  </si>
  <si>
    <t xml:space="preserve">Deptrac plus Pest architecture tests as a merge gate from sprint zero.</t>
  </si>
  <si>
    <t xml:space="preserve">BE-F03, BE-F04</t>
  </si>
  <si>
    <t xml:space="preserve">A tenant isolation leak reaches production.</t>
  </si>
  <si>
    <t xml:space="preserve">One channel reads another channel commercial data — the single most damaging failure in this system.</t>
  </si>
  <si>
    <t xml:space="preserve">Global scope plus a mandatory isolation test per endpoint, enforced by a coverage gate.</t>
  </si>
  <si>
    <t xml:space="preserve">BE-T02, BE-T03, BE-Q02</t>
  </si>
  <si>
    <t xml:space="preserve">Idempotency is implemented per endpoint rather than as middleware.</t>
  </si>
  <si>
    <t xml:space="preserve">Duplicate payments and duplicate receipts under retry — money that cannot be reconciled.</t>
  </si>
  <si>
    <t xml:space="preserve">One middleware in Core covering every write, with the exemption list in configuration.</t>
  </si>
  <si>
    <t xml:space="preserve">float appears in a money column.</t>
  </si>
  <si>
    <t xml:space="preserve">Reconciliation differences that cannot be explained or corrected.</t>
  </si>
  <si>
    <t xml:space="preserve">Integer columns, a Money value object and an architecture test that fails the build.</t>
  </si>
  <si>
    <t xml:space="preserve">BE-C06, BE-F04</t>
  </si>
  <si>
    <t xml:space="preserve">Channel provisioning is written as a synchronous request.</t>
  </si>
  <si>
    <t xml:space="preserve">A blocked request, a timeout, and duplicate channels on retry.</t>
  </si>
  <si>
    <t xml:space="preserve">Return provisioning immediately with a job id; make the retry idempotent.</t>
  </si>
  <si>
    <t xml:space="preserve">BE-T04, BE-T05</t>
  </si>
  <si>
    <t xml:space="preserve">A sensitive action executes on the first request instead of creating an approval.</t>
  </si>
  <si>
    <t xml:space="preserve">Irreversible deletion or privilege escalation without a second pair of eyes.</t>
  </si>
  <si>
    <t xml:space="preserve">A generic approval mechanism in Core that every sensitive action routes through.</t>
  </si>
  <si>
    <t xml:space="preserve">BE-C05, BE-A12</t>
  </si>
  <si>
    <t xml:space="preserve">OTP codes stored in clear text or without an attempt cap.</t>
  </si>
  <si>
    <t xml:space="preserve">Account takeover across the whole platform, since every identity starts at OTP.</t>
  </si>
  <si>
    <t xml:space="preserve">Hashed storage, five-minute expiry, attempt cap and strict per-phone and per-IP limits.</t>
  </si>
  <si>
    <t xml:space="preserve">BE-I02, BE-C08</t>
  </si>
  <si>
    <t xml:space="preserve">WhatsApp outage stops all registration.</t>
  </si>
  <si>
    <t xml:space="preserve">The entire platform halts; NEED-S-01 names this explicitly.</t>
  </si>
  <si>
    <t xml:space="preserve">A second adapter behind the same contract, switchable at runtime with no release.</t>
  </si>
  <si>
    <t xml:space="preserve">The audit log becomes editable through a maintenance script.</t>
  </si>
  <si>
    <t xml:space="preserve">Financial traceability is lost and the two-year retention requirement is void.</t>
  </si>
  <si>
    <t xml:space="preserve">No update or delete path at the model layer, plus a test that proves it.</t>
  </si>
  <si>
    <t xml:space="preserve">The zone status route drifts from 034 to the 043 family.</t>
  </si>
  <si>
    <t xml:space="preserve">A silent 404 or 405 in production on a path the frontend depends on.</t>
  </si>
  <si>
    <t xml:space="preserve">A contract test pinned to route 034 for zones.</t>
  </si>
  <si>
    <t xml:space="preserve">Issue ID</t>
  </si>
  <si>
    <t xml:space="preserve">Issue Key</t>
  </si>
  <si>
    <t xml:space="preserve">Issue Type</t>
  </si>
  <si>
    <t xml:space="preserve">Summary</t>
  </si>
  <si>
    <t xml:space="preserve">Description</t>
  </si>
  <si>
    <t xml:space="preserve">Component/s</t>
  </si>
  <si>
    <t xml:space="preserve">Story Points</t>
  </si>
  <si>
    <t xml:space="preserve">Epic Name</t>
  </si>
  <si>
    <t xml:space="preserve">Epic Link</t>
  </si>
  <si>
    <t xml:space="preserve">Sprint</t>
  </si>
  <si>
    <t xml:space="preserve">Fix Version/s</t>
  </si>
  <si>
    <t xml:space="preserve">Labels</t>
  </si>
  <si>
    <t xml:space="preserve">Blocked By</t>
  </si>
  <si>
    <t xml:space="preserve">EP-BE-F — SP-00 Technical foundation</t>
  </si>
  <si>
    <t xml:space="preserve">*Covers:* Repository, modules, Deptrac, CI, environments, OpenAPI, queues, health
*Volume:* 10 issues / 34 points</t>
  </si>
  <si>
    <t xml:space="preserve">backend</t>
  </si>
  <si>
    <t xml:space="preserve">Layer 1</t>
  </si>
  <si>
    <t xml:space="preserve">L1 backend epic</t>
  </si>
  <si>
    <t xml:space="preserve">EP-BE-C — Core module</t>
  </si>
  <si>
    <t xml:space="preserve">*Covers:* Envelope, error map, idempotency, audit, approvals, money, state machine base
*Volume:* 10 issues / 40 points</t>
  </si>
  <si>
    <t xml:space="preserve">EP-BE-I — Identity module</t>
  </si>
  <si>
    <t xml:space="preserve">*Covers:* Four guards, OTP, registration, sessions, devices, 2FA, API tokens
*Volume:* 18 issues / 70 points</t>
  </si>
  <si>
    <t xml:space="preserve">EP-BE-A — Access module</t>
  </si>
  <si>
    <t xml:space="preserve">*Covers:* Permission catalog, roles, SoD, assignments, simulator, temp grants, audit, reviews
*Volume:* 16 issues / 67 points</t>
  </si>
  <si>
    <t xml:space="preserve">EP-BE-R — Reference module</t>
  </si>
  <si>
    <t xml:space="preserve">*Covers:* Seven reference entities, FX rates, public refs, import
*Volume:* 12 issues / 43 points</t>
  </si>
  <si>
    <t xml:space="preserve">EP-BE-T — Tenancy module</t>
  </si>
  <si>
    <t xml:space="preserve">*Covers:* Channels, provisioning, coverage, limits, isolation, applications
*Volume:* 20 issues / 86 points</t>
  </si>
  <si>
    <t xml:space="preserve">EP-BE-X — Integration module</t>
  </si>
  <si>
    <t xml:space="preserve">*Covers:* WhatsApp, SMS fallback, storage, error tracking behind contracts
*Volume:* 5 issues / 16 points</t>
  </si>
  <si>
    <t xml:space="preserve">EP-BE-Q — Quality and hardening</t>
  </si>
  <si>
    <t xml:space="preserve">*Covers:* Architecture tests, isolation suite, contract snapshots, load and security
*Volume:* 6 issues / 22 points</t>
  </si>
  <si>
    <t xml:space="preserve">Task</t>
  </si>
  <si>
    <t xml:space="preserve">BE-F01 — Repository, Docker and the four environments</t>
  </si>
  <si>
    <t xml:space="preserve">*Module:* —    *Layer:* Infrastructure    *Sprint gate:* SP-00
*Endpoints:* internal
h3. Requirements
# Provision local Docker, test, staging (production-identical) and production environments.
# Laravel 11 skeleton with app/ kept deliberately thin: Kernel, Providers and Console only.
# Coding standards: Pint for formatting, Rector for upgrades, Larastan at level 6.
# All business logic lives under app-modules/, never under app/.
h3. Acceptance criteria
* (/) A merge to main deploys automatically to the test environment.
* (/) Larastan level 6, Pint and Rector all pass with zero findings.
* (/) app/ contains no controller, model or service.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</si>
  <si>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 SP-00</t>
  </si>
  <si>
    <t xml:space="preserve">L1, backend, infra, sp-00</t>
  </si>
  <si>
    <t xml:space="preserve">BE-F02 — Module scaffold with Composer path repositories</t>
  </si>
  <si>
    <t xml:space="preserve">*Module:* —    *Layer:* Infrastructure    *Sprint gate:* SP-00
*Endpoints:* internal
h3. Requirements
# Create app-modules/ with a local Composer path repository per module (b2b/core, b2b/identity, …).
# Each module owns src/Contracts, Domain, Application, Infrastructure, Presentation, Database, Policies, config, lang, tests.
# A module declares its dependencies in its own composer.json; a dependency it does not declare is not autoloadable.
# Publish a module template so a new module is created identically every time.
h3. Acceptance criteria
* (/) Importing a class from an undeclared module fails at autoload, not at review.
* (/) The six Layer 1 modules exist and boot.
* (/) A new module can be scaffolded from the template in one command.
h3. Out of scope
* nwidart/laravel-modules or any dynamic module loader — explicitly rejected in DOC-10 §1.3.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</si>
  <si>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9</t>
  </si>
  <si>
    <t xml:space="preserve">BE-F03 — Deptrac dependency rules in CI</t>
  </si>
  <si>
    <t xml:space="preserve">*Module:* —    *Layer:* Infrastructure    *Sprint gate:* SP-00
*Endpoints:* internal
h3. Requirements
# Declare the four layers in deptrac.yaml: Foundation, Domain, Coordination, Presentation.
# Ruleset: Coordination may depend on Domain and Foundation; Domain on Foundation; Foundation on nothing.
# Run Deptrac in the pipeline and fail the build on a violation.
h3. Acceptance criteria
* (/) A Foundation module importing a Domain class fails the build.
* (/) The Deptrac report is attached to every pipeline run.
h3. Out of scope
* Documenting the rule without enforcing it. A boundary CI does not check is a wish, not a boundary.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</si>
  <si>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10</t>
  </si>
  <si>
    <t xml:space="preserve">BE-F04 — Pest architecture tests</t>
  </si>
  <si>
    <t xml:space="preserve">*Module:* —    *Layer:* Infrastructure    *Sprint gate:* SP-00
*Endpoints:* internal
h3. Requirements
# No module imports another module Eloquent model (Modules\*\Domain\Models is module-private).
# No float or double anywhere in a finance or money path.
# Every channel controller is behind the channel guard middleware.
# Cross-boundary references use identifiers, never Eloquent relations.
h3. Acceptance criteria
* (/) Each rule has a failing example proving the test actually catches it.
* (/) The suite runs in CI on every pull request.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</si>
  <si>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BE-F05 — Base migrations and naming conventions</t>
  </si>
  <si>
    <t xml:space="preserve">*Module:* —    *Layer:* Infrastructure    *Sprint gate:* SP-00
*Endpoints:* internal
h3. Requirements
# Tables plural snake_case; columns snake_case with *_id foreign keys; routes kebab-case and plural.
# States are a PHP Enum persisted as a string; events are past tense; jobs and actions are imperative verbs.
# Each module owns its migrations, factories and seeders; only composite seeding lives in database/seeders.
h3. Acceptance criteria
* (/) A convention violation is caught by a static check, not by a reviewer.
* (/) Migrations are backward compatible so deployment never requires downtime.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</si>
  <si>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BE-F06 — OpenAPI contract and generated clients</t>
  </si>
  <si>
    <t xml:space="preserve">*Module:* —    *Layer:* Infrastructure    *Sprint gate:* SP-00
*Endpoints:* internal
h3. Requirements
# Generate the OpenAPI document from the route and resource definitions.
# Generate a typed TypeScript client and Zod schemas for the three web frontends.
# The catalog fields b (request body), r (data shape) and e (error codes) are the contract of record.
h3. Acceptance criteria
* (/) A frontend developer writes no type by hand.
* (/) A server-side shape change breaks the frontend build rather than failing silently at runtime.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</si>
  <si>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BE-F07 — Queues and Horizon</t>
  </si>
  <si>
    <t xml:space="preserve">*Module:* —    *Layer:* Infrastructure    *Sprint gate:* SP-00
*Endpoints:* internal
h3. Requirements
# Four queues by priority: critical (OTP, handover, payments, outbox intake), default, media, reports.
# Horizon supervises the workers and feeds the system-health screen.
# Alert on queue backlog and on rising latency.
h3. Acceptance criteria
* (/) An OTP job never waits behind a report job.
* (/) Horizon shows all four queues with their configured priorities.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</si>
  <si>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BE-F08 — Observability: Sentry, Pulse and alerting</t>
  </si>
  <si>
    <t xml:space="preserve">*Module:* —    *Layer:* Infrastructure    *Sprint gate:* SP-00
*Endpoints:* internal
h3. Requirements
# Sentry for errors, Pulse for application performance.
# Phone numbers and tokens are masked in every log line.
# Alerts on queue backlog, response-time regression and error-rate spikes.
h3. Acceptance criteria
* (/) No log line anywhere contains a full phone number or a token.
* (/) An induced 500 reaches Sentry with the request context attached.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</si>
  <si>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Story</t>
  </si>
  <si>
    <t xml:space="preserve">BE-F09 — Health endpoint</t>
  </si>
  <si>
    <t xml:space="preserve">*Module:* Core    *Layer:* Foundation    *Sprint gate:* SP-00
*Endpoints:* EP-CORE-001
*Unblocks frontend:* FE-CORE-01
h3. Requirements
# GET /api/v1/health returns data.status = ok with no authentication and no idempotency key.
# Report database, cache and queue reachability.
h3. Acceptance criteria
* (/) The endpoint answers without a Bearer token.
* (/) It is the first endpoint the shared frontend kit calls successfully.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</si>
  <si>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core, sp-00</t>
  </si>
  <si>
    <t xml:space="preserve">19</t>
  </si>
  <si>
    <t xml:space="preserve">BE-F10 — Zero-downtime deployment pipeline</t>
  </si>
  <si>
    <t xml:space="preserve">*Module:* —    *Layer:* Infrastructure    *Sprint gate:* SP-00
*Endpoints:* internal
h3. Requirements
# Pipeline: static analysis → tests → frontend build → Docker image → zero-downtime deploy with safe migration.
# Encrypted daily off-server backup with a documented monthly restore test.
h3. Acceptance criteria
* (/) A deployment causes no request failure.
* (/) A restore test is executed and recorded before L1 closes.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</si>
  <si>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BE-C01 — Unified response envelope</t>
  </si>
  <si>
    <t xml:space="preserve">*Module:* Core    *Layer:* Foundation    *Sprint gate:* SP-00
*Endpoints:* internal
h3. Requirements
# Success: { data, meta.server_time } plus meta.sync_cursor where the module provides one.
# List success adds meta.page, per_page, total and last_page.
# Error: { error: { code, message, details?, permission? } } — never a raw Laravel validation payload.
h3. Acceptance criteria
* (/) A snapshot test pins the envelope shape for the mobile clients.
* (/) No controller returns a bare array or a raw model.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</si>
  <si>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BE-C02 — Error handler and HTTP status map</t>
  </si>
  <si>
    <t xml:space="preserve">*Module:* Core    *Layer:* Foundation    *Sprint gate:* SP-00
*Endpoints:* internal
h3. Requirements
# 401 unauthenticated, token_revoked. 403 wrong_guard, insufficient_permission, requires_2fa, requires_password_confirm.
# 404 not_found for out-of-tenant access. 409 illegal_transition, operation_in_progress, stale_version.
# 422 validation_failed with details keyed by field. 423 plan_limit_exceeded. 426 upgrade_required. 429 rate_limited. 503 maintenance_mode.
# Messages are Arabic and translatable; the code is the contract, the message is for the human.
h3. Acceptance criteria
* (/) Every code in the map has a feature test that triggers it.
* (/) A 403 for a permission failure carries the permission key in the payload.
* (/) Out-of-tenant access returns 404, never 403 — existence is not disclosed.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</si>
  <si>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BE-C03 — Idempotency middleware</t>
  </si>
  <si>
    <t xml:space="preserve">*Module:* Core    *Layer:* Foundation    *Sprint gate:* SP-00
*Endpoints:* internal
*Tables:* idempotency_keys
h3. Requirements
# Every write accepts X-Idempotency-Key (BR-AD-24, REQ-CM-012).
# Known and completed key → replay the stored response byte for byte with its original status.
# Known and in flight → 409 operation_in_progress.
# New key → execute, then store the response for 24 hours.
# Exempt paths: public OTP request / verify / resend, platform login and 2FA, channel OTP, warehouse device-login.
h3. Acceptance criteria
* (/) Replaying a completed key creates no second row anywhere.
* (/) Two concurrent requests with the same key produce one execution and one 409.
* (/) This is the technical basis of REQ-IN-01 and AC-05 — proven by test, not asserted.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</si>
  <si>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20</t>
  </si>
  <si>
    <t xml:space="preserve">BE-C04 — Immutable audit log</t>
  </si>
  <si>
    <t xml:space="preserve">*Module:* Core    *Layer:* Foundation    *Sprint gate:* SP-00
*Endpoints:* internal
*Tables:* audit_logs
h3. Requirements
# Record actor, action, entity, before and after values, IP, impersonation flag and timestamp.
# No update and no delete path exists for the table (BR-16).
# Every financial, inventory and permission mutation writes an entry.
# Retention of at least two years.
h3. Acceptance criteria
* (/) An attempt to update or delete an audit row fails at the model layer.
* (/) Any figure in any report can be traced back to its originating document.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</si>
  <si>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BE-C05 — Generic dual-approval mechanism</t>
  </si>
  <si>
    <t xml:space="preserve">*Module:* Core    *Layer:* Foundation    *Sprint gate:* SP-00
*Endpoints:* internal
*Tables:* approval_requests
h3. Requirements
# A sensitive action creates an approval_request instead of executing (draft, pending or deletion_request_id).
# The approver must differ from the requester; the server rejects self-approval with 403.
# Approval and rejection both require a written reason and are audited.
# Execution happens only after approval, inside one transaction.
h3. Acceptance criteria
* (/) A creator approving their own role receives 403.
* (/) No sensitive action ever executes on the first request.
* (/) The pending state is visible to the requester through the approval inbox.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</si>
  <si>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22</t>
  </si>
  <si>
    <t xml:space="preserve">BE-C06 — Money value object and integer columns</t>
  </si>
  <si>
    <t xml:space="preserve">*Module:* Core    *Layer:* Foundation    *Sprint gate:* SP-00
*Endpoints:* internal
h3. Requirements
# Every amount is a bigInteger in the smallest currency unit, wrapped in a Money value object (BR-AD-18).
# float and double are forbidden in any money column, enforced by architecture test.
# Rounding happens in the presentation layer only, via MoneyResource.
# An FX-rate change never reprices an existing order: currency and rate are frozen on the order line (BR-AD-19).
h3. Acceptance criteria
* (/) The architecture test fails on any float introduced into a money path.
* (/) SYP renders with zero decimals through the resource, while storage stays integer.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</si>
  <si>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12</t>
  </si>
  <si>
    <t xml:space="preserve">BE-C07 — State machine base and event tables</t>
  </si>
  <si>
    <t xml:space="preserve">*Module:* Core    *Layer:* Foundation    *Sprint gate:* SP-00
*Endpoints:* internal
h3. Requirements
# status is protected by $guarded and can only be changed through the lifecycle service (BR-AD-13).
# Each transition is recorded in a per-entity *_events table with actor, reason and timestamp.
# A disallowed transition throws IllegalStateTransitionException, mapped to 409.
# Transitions with financial or inventory effect are wrapped in a single database transaction.
h3. Acceptance criteria
* (/) Direct assignment to status outside the service fails a test.
* (/) ChannelStateMachine is delivered in L1; the other three follow in their own layers.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</si>
  <si>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BE-C08 — Rate limiting</t>
  </si>
  <si>
    <t xml:space="preserve">*Module:* Core    *Layer:* Foundation    *Sprint gate:* SP-00
*Endpoints:* internal
h3. Requirements
# Per user, per device and per IP limits, with a much stricter policy on OTP request (REQ-CM-055).
# Progressive backoff on repeated failure and a temporary block.
# Responses carry Retry-After so the client can run its countdown.
h3. Acceptance criteria
* (/) Exceeding the OTP limit returns 429 rate_limited with Retry-After set.
* (/) The limit is enforced per phone number and per IP independently.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</si>
  <si>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BE-C09 — List contract: pagination, filtering, sorting, search</t>
  </si>
  <si>
    <t xml:space="preserve">*Module:* Core    *Layer:* Foundation    *Sprint gate:* SP-00
*Endpoints:* internal
h3. Requirements
# page, per_page (default 25, hard cap 100), sort, search and filter[*] on every platform list.
# Cursor pagination for long mobile lists rather than offset pagination.
# Export endpoints accept the active filter set, never a page number.
h3. Acceptance criteria
* (/) Requesting per_page=500 is capped at 100 rather than rejected.
* (/) An export produces the full filtered result set.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</si>
  <si>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BE-C10 — Background job contract</t>
  </si>
  <si>
    <t xml:space="preserve">*Module:* Core    *Layer:* Foundation    *Sprint gate:* SP-00
*Endpoints:* internal
h3. Requirements
# A heavy operation returns job_id immediately instead of blocking the request.
# A job-status endpoint reports progress and the resulting artefact.
# Exports and provisioning both use this contract.
h3. Acceptance criteria
* (/) No export or provisioning request holds an HTTP connection open.
* (/) A completed job is retrievable without the client having polled continuously.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</si>
  <si>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15</t>
  </si>
  <si>
    <t xml:space="preserve">BE-I01 — Four guards and separate user tables</t>
  </si>
  <si>
    <t xml:space="preserve">*Module:* Identity    *Layer:* Foundation    *Sprint gate:* SP-01
*Endpoints:* internal
*Tables:* platform_users, channel_users, warehouse_users, retailers, reps
h3. Requirements
# Guards: app (retailer and rep), channel, warehouse, platform — each with its own user table.
# Sanctum tokens with abilities; a registration-ability token is issued before the profile exists.
# Presenting a token to the wrong guard returns 403 wrong_guard.
# One phone number cannot be registered under two kinds; the server rejects the second.
h3. Acceptance criteria
* (/) A retailer token on /platform returns 403 wrong_guard, never 200.
* (/) Registering the same phone as both retailer and rep is rejected with a clear message.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</si>
  <si>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 SP-01</t>
  </si>
  <si>
    <t xml:space="preserve">L1, backend, identity, sp-01</t>
  </si>
  <si>
    <t xml:space="preserve">BE-I02 — OTP storage and security policy</t>
  </si>
  <si>
    <t xml:space="preserve">*Module:* Identity    *Layer:* Foundation    *Sprint gate:* SP-01
*Endpoints:* internal
*Tables:* otp_codes
h3. Requirements
# Codes are stored hashed, never in clear text, with a five-minute expiry and a capped attempt count.
# Purpose is recorded (register or login) and a code is single use.
# Strict rate limiting per phone and per IP with progressive delay.
h3. Acceptance criteria
* (/) A database dump exposes no usable code.
* (/) A consumed or expired code returns 401 otp_invalid.
* (/) Attempt exhaustion invalidates the code rather than merely rejecting the attempt.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</si>
  <si>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29 26</t>
  </si>
  <si>
    <t xml:space="preserve">BE-I03 — Request OTP endpoint</t>
  </si>
  <si>
    <t xml:space="preserve">*Module:* Identity    *Layer:* Foundation    *Sprint gate:* SP-01
*Endpoints:* EP-CM-001
*Unblocks frontend:* RP-01, RP-03, RT-03
h3. Requirements
# Body: phone, purpose, client. The server normalises the Syrian number; the client sends it as typed.
# Response carries otp_id, expires_in (300), resend_after (60) and channel_used.
# Delivery goes through the WhatsApp contract, with the SMS fallback selectable.
h3. Acceptance criteria
* (/) A non-Syrian number returns 422 with the error on the phone field, in Arabic.
* (/) Exceeding the limit returns 429 with resend_after set.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</si>
  <si>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30 95</t>
  </si>
  <si>
    <t xml:space="preserve">BE-I04 — Verify OTP and device binding</t>
  </si>
  <si>
    <t xml:space="preserve">*Module:* Identity    *Layer:* Foundation    *Sprint gate:* SP-01
*Endpoints:* EP-CM-002
*Tables:* devices, sessions
*Unblocks frontend:* RP-01, RP-03, RT-06
h3. Requirements
# Body: otp_id, code, device_id, device_name, platform.
# Issue a Sanctum token bound to device_uuid; return is_new_user and profile_completed.
# A new user receives a registration-ability token only; a complete user receives a full token.
# Record the device and open a session row.
h3. Acceptance criteria
* (/) A wrong code returns 401 otp_invalid and consumes one attempt.
* (/) The issued token is bound to the device and is revoked on logout.
* (/) is_new_user is computed by the server, not inferred by the client.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</si>
  <si>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31</t>
  </si>
  <si>
    <t xml:space="preserve">BE-I05 — Resend OTP with channel preference</t>
  </si>
  <si>
    <t xml:space="preserve">*Module:* Identity    *Layer:* Foundation    *Sprint gate:* SP-01
*Endpoints:* EP-CM-003
*Unblocks frontend:* RP-01, RP-03, RT-05
h3. Requirements
# Body: otp_id, prefer_channel (whatsapp default, sms fallback).
# Resend is refused before resend_after has elapsed.
# The SMS route is switchable from settings without redeploying the app (REQ-CM-003).
h3. Acceptance criteria
* (/) An early resend returns 429 with the remaining time.
* (/) Switching the provider in settings takes effect without a release.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</si>
  <si>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BE-I06 — Retailer registration</t>
  </si>
  <si>
    <t xml:space="preserve">*Module:* Identity    *Layer:* Foundation    *Sprint gate:* SP-01
*Endpoints:* EP-RT-001
*Tables:* retailers
*Unblocks frontend:* RT-08, RT-09, RT-10
h3. Requirements
# Body: owner_name, shop_name, activity_type_id, category_ids, equipment_ids, governorate_id, zone_id, lat, lng, address.
# Reject a zone that does not belong to the submitted governorate with 422 on zone_id.
# No email and no password field exists on this path.
# On success return a new full token and a profile with status pending_review.
h3. Acceptance criteria
* (/) The retailer cannot reach any operational surface while pending_review.
* (/) Re-submitting with the same idempotency key does not create a second profile.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</si>
  <si>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32 64 65</t>
  </si>
  <si>
    <t xml:space="preserve">BE-I07 — Rep registration with channel invite</t>
  </si>
  <si>
    <t xml:space="preserve">*Module:* Identity    *Layer:* Foundation    *Sprint gate:* SP-04
*Endpoints:* EP-RP-001
*Tables:* reps
*Unblocks frontend:* RP-07
h3. Requirements
# Body: name, supply_channel_id, activity_type_id, zone_ids, note.
# A zone outside the channel coverage returns 422 on zone_ids.
# A channel that is not active returns 409.
# The rep-to-channel relation is many-to-many and carries the caps for each channel.
h3. Acceptance criteria
* (/) supply_channel_id is accepted only from a valid invite, never from a public list.
* (/) GET /public/refs never exposes channels (REQ-IN-06).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</si>
  <si>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 SP-04</t>
  </si>
  <si>
    <t xml:space="preserve">L1, backend, identity, sp-04</t>
  </si>
  <si>
    <t xml:space="preserve">32 75</t>
  </si>
  <si>
    <t xml:space="preserve">BE-I08 — App session endpoint</t>
  </si>
  <si>
    <t xml:space="preserve">*Module:* Identity    *Layer:* Foundation    *Sprint gate:* SP-01
*Endpoints:* EP-CM-004
*Unblocks frontend:* RP-08, RP-09, RT-01, RT-11, RT-13
h3. Requirements
# Return the user, profile_completed, status, feature_flags, sync_cursor and legal state.
# An invalid or revoked token returns 401 so the client can drop it.
# Do not return points or tier in L1 even where a sample payload shows them.
h3. Acceptance criteria
* (/) The five splash branches in the retailer brief are all derivable from this one response.
* (/) requires_legal_accept is a flag only; no legal endpoint exists in L1.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</si>
  <si>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32</t>
  </si>
  <si>
    <t xml:space="preserve">BE-I09 — App logout and token revocation</t>
  </si>
  <si>
    <t xml:space="preserve">*Module:* Identity    *Layer:* Foundation    *Sprint gate:* SP-01
*Endpoints:* EP-CM-005
*Unblocks frontend:* RP-09, RT-15
h3. Requirements
# Revoke the current token and close its session row.
# A revoked token returns 401 token_revoked on any later request.
# A session can also be invalidated from the backend (REQ-CM-007).
h3. Acceptance criteria
* (/) A token used after logout returns 401 token_revoked.
* (/) Backend invalidation takes effect on the next request, not on the next login.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</si>
  <si>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BE-I10 — Channel OTP sign-in</t>
  </si>
  <si>
    <t xml:space="preserve">*Module:* Identity    *Layer:* Foundation    *Sprint gate:* SP-01
*Endpoints:* EP-CH-001, EP-CH-002
*Tables:* channel_users
*Unblocks frontend:* CH-02, CH-03
h3. Requirements
# Request accepts phone only — purpose is not part of this catalog row.
# Verify accepts otp_id and code and returns token, permissions[] and channels[].
# A user with no channel membership receives 403 with a clear message.
# Membership of more than one channel returns all of them for the picker.
h3. Acceptance criteria
* (/) Sending purpose is rejected by the request validation.
* (/) permissions[] is present on the verify response and drives the sidebar.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</si>
  <si>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30 75</t>
  </si>
  <si>
    <t xml:space="preserve">BE-I11 — Warehouse device provisioning and login</t>
  </si>
  <si>
    <t xml:space="preserve">*Module:* Identity    *Layer:* Foundation    *Sprint gate:* SP-01
*Endpoints:* EP-WH-001
*Tables:* warehouse_users, devices
*Unblocks frontend:* WH-03
h3. Requirements
# An artisan command warehouse:register-device issues a device_token bound to one warehouse.
# POST /warehouse/auth/device-login accepts device_token and a four-digit PIN.
# A failure returns one identical 401 whether the token or the PIN was wrong.
# The success payload carries warehouse.name and permissions[].
h3. Acceptance criteria
* (/) No API path can create a device — provisioning is an operator command only.
* (/) The 401 body is byte-identical for a wrong token and a wrong PIN.
* (/) PINs are hashed and attempt-limited.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</si>
  <si>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29</t>
  </si>
  <si>
    <t xml:space="preserve">BE-I12 — Platform login and TOTP</t>
  </si>
  <si>
    <t xml:space="preserve">*Module:* Identity    *Layer:* Foundation    *Sprint gate:* SP-01
*Endpoints:* EP-AD-001, EP-AD-002, EP-AD-003
*Tables:* platform_users
*Unblocks frontend:* AD-10, AD-11, AD-13
h3. Requirements
# Login with email and password; when 2FA is enabled return requires_2fa and a short-lived challenge_token.
# Verify the TOTP code against the challenge and issue the session token with roles, permissions and expires_at.
# A 401 reveals nothing about whether the email exists.
# Logout revokes the token.
h3. Acceptance criteria
* (/) The failure message is identical for an unknown email and a wrong password.
* (/) challenge_token expires in minutes and is single use.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</si>
  <si>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BE-I13 — Platform account profile and password</t>
  </si>
  <si>
    <t xml:space="preserve">*Module:* Identity    *Layer:* Foundation    *Sprint gate:* SP-01
*Endpoints:* EP-AD-004, EP-AD-159A, EP-AD-159B, EP-AD-159C
*Unblocks frontend:* AD-12, AD-14, AD-15
h3. Requirements
# Return the admin identity with roles and permissions on boot.
# Update name and phone; change password with current_password confirmation.
# The password route is marked crit and requires a fresh password confirmation.
h3. Acceptance criteria
* (/) Changing the password does not silently invalidate other sessions unless the policy says so.
* (/) Validation errors are keyed by field.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</si>
  <si>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40</t>
  </si>
  <si>
    <t xml:space="preserve">BE-I14 — Session listing and revocation</t>
  </si>
  <si>
    <t xml:space="preserve">*Module:* Identity    *Layer:* Foundation    *Sprint gate:* SP-01
*Endpoints:* EP-AD-006, EP-AD-007
*Tables:* sessions
*Unblocks frontend:* AD-16
h3. Requirements
# List active sessions with device, IP, last activity and a current flag.
# Revoke any session by id; revoking the current one ends the request session too.
h3. Acceptance criteria
* (/) The current session is flagged unambiguously.
* (/) A revoked session cannot make another authenticated request.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</si>
  <si>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BE-I15 — Two-factor enrolment and recovery codes</t>
  </si>
  <si>
    <t xml:space="preserve">*Module:* Identity    *Layer:* Foundation    *Sprint gate:* SP-01
*Endpoints:* EP-AD-159D, EP-AD-159E, EP-AD-159F
*Unblocks frontend:* AD-17
h3. Requirements
# Enable returns qr_svg and secret; confirm activates only after a valid code.
# Recovery codes are returned exactly once at confirmation and stored hashed.
# The later endpoint returns codes_remaining only, never the codes.
h3. Acceptance criteria
* (/) Recovery codes cannot be retrieved a second time by any route.
* (/) A used recovery code cannot be reused.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</si>
  <si>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BE-I16 — Personal API tokens</t>
  </si>
  <si>
    <t xml:space="preserve">*Module:* Identity    *Layer:* Foundation    *Sprint gate:* SP-01
*Endpoints:* EP-AD-159G, EP-AD-159H, EP-AD-159I
*Unblocks frontend:* AD-18
h3. Requirements
# List, create with name and password_confirmation, and delete.
# The secret is returned once at creation and stored hashed.
h3. Acceptance criteria
* (/) The secret cannot be retrieved after the creation response.
* (/) Deleting a token revokes it immediately.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</si>
  <si>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BE-I17 — Password confirmation window</t>
  </si>
  <si>
    <t xml:space="preserve">*Module:* Identity    *Layer:* Foundation    *Sprint gate:* SP-01
*Endpoints:* EP-AD-005
*Unblocks frontend:* AD-03
h3. Requirements
# A crit route returns 403 requires_password_confirm when the window has lapsed.
# Confirming opens a fifteen-minute window bound to the session.
# The replayed original request must carry the same idempotency key and must not execute twice.
h3. Acceptance criteria
* (/) A replay after confirmation produces exactly one execution.
* (/) The window expires on time and reopens the challenge rather than failing silently.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</si>
  <si>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BE-I18 — Guest mode and write blocking</t>
  </si>
  <si>
    <t xml:space="preserve">*Module:* Identity    *Layer:* Foundation    *Sprint gate:* SP-01
*Endpoints:* internal
h3. Requirements
# A guest token permits browsing and blocks every write with a clear directing message (REQ-CM-005).
# The guest token cannot be upgraded implicitly; registration is explicit.
h3. Acceptance criteria
* (/) Any write attempted with a guest token is refused with a message the app can display verbatim.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</si>
  <si>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BE-A01 — Permission catalog seed</t>
  </si>
  <si>
    <t xml:space="preserve">*Module:* Access    *Layer:* Foundation    *Sprint gate:* SP-02
*Endpoints:* internal
*Tables:* permissions
h3. Requirements
# Seed the 170 permissions from the DOC-08 catalog literally, including the Arabic name.
# Each permission carries system, module, severity and a dual-approval flag.
# Permission codes are used verbatim in code — no renaming, no aliasing.
h3. Acceptance criteria
* (/) The seed is idempotent and re-runnable.
* (/) A permission referenced in code but missing from the catalog fails a test.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</si>
  <si>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 SP-02</t>
  </si>
  <si>
    <t xml:space="preserve">L1, backend, access, sp-02</t>
  </si>
  <si>
    <t xml:space="preserve">BE-A02 — Permission catalog and holders API</t>
  </si>
  <si>
    <t xml:space="preserve">*Module:* Access    *Layer:* Foundation    *Sprint gate:* SP-02
*Endpoints:* internal
h3. Requirements
# List permissions with filters on system and severity and counts of roles and users.
# A holders endpoint returns the roles, the users and last usage for one permission code.
h3. Acceptance criteria
* (/) Counts are computed server side, never in the client.
* (/) Filtering happens through filter[*].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</si>
  <si>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47 27</t>
  </si>
  <si>
    <t xml:space="preserve">BE-A03 — Roles with draft lifecycle</t>
  </si>
  <si>
    <t xml:space="preserve">*Module:* Access    *Layer:* Foundation    *Sprint gate:* SP-02
*Endpoints:* internal
*Tables:* roles, role_permission
h3. Requirements
# Create a role with name, key, system, description, permissions and an optional copy_from_role_id.
# A new role is created with status draft and confers nothing until approved.
# Builtin roles cannot be deleted through any path.
h3. Acceptance criteria
* (/) A draft role grants no access whatsoever.
* (/) Deleting a builtin role is refused server side, not merely hidden in the UI.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</si>
  <si>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47 23</t>
  </si>
  <si>
    <t xml:space="preserve">BE-A04 — Role preview with SoD conflict detection</t>
  </si>
  <si>
    <t xml:space="preserve">*Module:* Access    *Layer:* Foundation    *Sprint gate:* SP-02
*Endpoints:* internal
h3. Requirements
# Preview returns summary_ar describing in plain Arabic what the role can do.
# Preview returns sod_conflicts computed against the segregation-of-duties rules.
# A conflicting combination is refused on save with sod_violation.
h3. Acceptance criteria
* (/) Preview is a pure read: it creates nothing.
* (/) A known conflicting pair is detected by test.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</si>
  <si>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49 57</t>
  </si>
  <si>
    <t xml:space="preserve">BE-A05 — Role approval by a second user</t>
  </si>
  <si>
    <t xml:space="preserve">*Module:* Access    *Layer:* Foundation    *Sprint gate:* SP-02
*Endpoints:* internal
h3. Requirements
# Approval requires a written reason and moves the role from draft to active.
# The creator approving their own role receives 403.
h3. Acceptance criteria
* (/) Self-approval is impossible through any path including a direct API call.
* (/) The transition is audited with both identities.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</si>
  <si>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49 23</t>
  </si>
  <si>
    <t xml:space="preserve">BE-A06 — Replace role permissions</t>
  </si>
  <si>
    <t xml:space="preserve">*Module:* Access    *Layer:* Foundation    *Sprint gate:* SP-02
*Endpoints:* internal
h3. Requirements
# Replace the permission set atomically with a mandatory reason.
# Re-run the SoD check on the new set before persisting.
h3. Acceptance criteria
* (/) A partial write is impossible; the change is all or nothing.
* (/) The before and after sets are both recorded in the audit log.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</si>
  <si>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49</t>
  </si>
  <si>
    <t xml:space="preserve">BE-A07 — Bulk role assignment</t>
  </si>
  <si>
    <t xml:space="preserve">*Module:* Access    *Layer:* Foundation    *Sprint gate:* SP-02
*Endpoints:* internal
h3. Requirements
# Accept at most fifty user_ids per request.
# Return assigned and rejected separately with a reason per rejection.
# A rejection for one user never rolls back the others.
h3. Acceptance criteria
* (/) A partially successful request returns 200 with both lists, not a blanket failure.
* (/) Exceeding fifty is refused with 422.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</si>
  <si>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BE-A08 — Revoke assignment</t>
  </si>
  <si>
    <t xml:space="preserve">*Module:* Access    *Layer:* Foundation    *Sprint gate:* SP-02
*Endpoints:* internal
h3. Requirements
# Accept user_id, role_id and a mandatory reason.
# Revocation takes effect on the next request, not on the next login.
h3. Acceptance criteria
* (/) The revoked user loses the permission immediately.
* (/) The revocation is audited with its reason.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</si>
  <si>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53</t>
  </si>
  <si>
    <t xml:space="preserve">BE-A09 — Permission simulator</t>
  </si>
  <si>
    <t xml:space="preserve">*Module:* Access    *Layer:* Foundation    *Sprint gate:* SP-02
*Endpoints:* internal
h3. Requirements
# Accept user_type, user_id, permission, resource_type and resource_id.
# Return decision_path: the outcome of each layer in order (guard, tenancy scope, role, policy, temporary grant).
# The simulator is strictly read only and mutates nothing.
h3. Acceptance criteria
* (/) The simulated result matches the real authorisation decision in every test case.
* (/) Every layer is represented in the path, including the ones that passed.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</si>
  <si>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BE-A10 — Temporary grants</t>
  </si>
  <si>
    <t xml:space="preserve">*Module:* Access    *Layer:* Foundation    *Sprint gate:* SP-02
*Endpoints:* internal
*Tables:* temp_grants
h3. Requirements
# duration_minutes is capped at 240 and reason must be at least twenty characters.
# The grant is created pending_approval and confers nothing until approved.
# Expiry is automatic and audited; no manual cleanup is required.
h3. Acceptance criteria
* (/) An expired grant stops conferring access without any job having to run on time.
* (/) A grant longer than 240 minutes is refused with 422.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</si>
  <si>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23</t>
  </si>
  <si>
    <t xml:space="preserve">BE-A11 — Segregation of duties rules</t>
  </si>
  <si>
    <t xml:space="preserve">*Module:* Access    *Layer:* Foundation    *Sprint gate:* SP-02
*Endpoints:* internal
*Tables:* sod_rules
h3. Requirements
# Seed the conflicting permission pairs and expose them read only in L1.
# The rule engine is consumed by role preview, role save and assignment.
h3. Acceptance criteria
* (/) No write endpoint for SoD rules exists in L1.
* (/) The same engine is used by all three consumers — one implementation, not three.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</si>
  <si>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47</t>
  </si>
  <si>
    <t xml:space="preserve">BE-A12 — Approval inbox and decisions</t>
  </si>
  <si>
    <t xml:space="preserve">*Module:* Access    *Layer:* Foundation    *Sprint gate:* SP-02
*Endpoints:* internal
*Tables:* approval_requests
h3. Requirements
# List pending requests with enough context to decide.
# Decide with approve or reject plus a mandatory reason; the approver must differ from the requester.
# Approval executes the deferred action inside one transaction.
h3. Acceptance criteria
* (/) A rejected request never executes its action.
* (/) An approved deletion executes exactly once even if the endpoint is called twice.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</si>
  <si>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BE-A13 — Audit query API</t>
  </si>
  <si>
    <t xml:space="preserve">*Module:* Access    *Layer:* Foundation    *Sprint gate:* SP-02
*Endpoints:* internal
*Tables:* audit_logs
h3. Requirements
# Filter by actor, action, channel_id and date range, all server side.
# Row detail returns the before and after payloads, the IP and the impersonation flag.
# Indexes support the date-range query at production volume.
h3. Acceptance criteria
* (/) A ninety-day range query returns within the interactive budget.
* (/) The before and after payloads are structured, not a flattened string.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</si>
  <si>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22 27</t>
  </si>
  <si>
    <t xml:space="preserve">BE-A14 — Audit export job</t>
  </si>
  <si>
    <t xml:space="preserve">*Module:* Access    *Layer:* Foundation    *Sprint gate:* SP-02
*Endpoints:* internal
h3. Requirements
# Accept filters and format xlsx and return job_id on the reports queue.
# The export honours the submitted filters, not a page.
h3. Acceptance criteria
* (/) The request returns immediately with job_id.
* (/) The produced file matches the filtered row count exactly.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</si>
  <si>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59 28</t>
  </si>
  <si>
    <t xml:space="preserve">BE-A15 — Quarterly access review campaigns</t>
  </si>
  <si>
    <t xml:space="preserve">*Module:* Access    *Layer:* Foundation    *Sprint gate:* SP-02
*Endpoints:* internal
*Tables:* access_reviews
h3. Requirements
# Start a campaign with quarter and scope and materialise its item set.
# Each item is decided keep or revoke with a reason.
# The campaign cannot be closed while any item is undecided.
# A revoke decision actually revokes the assignment on close.
h3. Acceptance criteria
* (/) Closing with an undecided item is refused server side.
* (/) Revocations from a closed campaign are visible in the audit log.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</si>
  <si>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BE-A16 — Two-level authorisation enforcement</t>
  </si>
  <si>
    <t xml:space="preserve">*Module:* Access    *Layer:* Foundation    *Sprint gate:* SP-02
*Endpoints:* internal
h3. Requirements
# Policy per model plus permission per action — both are required, neither alone is sufficient.
# Every endpoint declares its permission explicitly; a missing declaration fails a test.
# A 403 carries the permission key so the client can hide the control.
h3. Acceptance criteria
* (/) A bypass attempt on every write endpoint is covered by a test.
* (/) An endpoint without a declared permission cannot be merged.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</si>
  <si>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47 76</t>
  </si>
  <si>
    <t xml:space="preserve">BE-R01 — Reference module core and soft-delete policy</t>
  </si>
  <si>
    <t xml:space="preserve">*Module:* Reference    *Layer:* Foundation    *Sprint gate:* SP-03
*Endpoints:* internal
*Events:* ReferenceDisabled
h3. Requirements
# A shared pattern for all seven entities: list, create, update with reason, enable and disable.
# No hard delete on any reference entity; disabling is logical and audited.
# Disabling emits ReferenceDisabled, consumed by Catalog, Tenancy and Ordering to block new use without touching existing rows.
# Reference entities carry no channel_id and are not subject to the tenant scope.
h3. Acceptance criteria
* (/) A disabled reference blocks new registration but leaves existing records intact.
* (/) No delete route exists on any reference entity.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</si>
  <si>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 SP-03</t>
  </si>
  <si>
    <t xml:space="preserve">L1, backend, reference, sp-03</t>
  </si>
  <si>
    <t xml:space="preserve">BE-R02 — Governorates</t>
  </si>
  <si>
    <t xml:space="preserve">*Module:* Reference    *Layer:* Foundation    *Sprint gate:* SP-03
*Endpoints:* EP-AD-030, EP-AD-031, EP-AD-042A, EP-AD-043A
*Tables:* governorates
*Unblocks frontend:* AD-41
h3. Requirements
# CRUD with name_ar, name_en and code; status toggle with a reason.
# Seed the Syrian governorates as launch data.
h3. Acceptance criteria
* (/) The seed is idempotent.
* (/) An update without a reason is refused with 422.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</si>
  <si>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63</t>
  </si>
  <si>
    <t xml:space="preserve">BE-R03 — Zones with impact counts</t>
  </si>
  <si>
    <t xml:space="preserve">*Module:* Reference    *Layer:* Foundation    *Sprint gate:* SP-03
*Endpoints:* EP-AD-032, EP-AD-033, EP-AD-042B, EP-AD-034
*Tables:* zones
*Unblocks frontend:* AD-42, AD-49
h3. Requirements
# List supports filter[governorate_id]; a zone belongs to exactly one governorate.
# The status route is 034, deliberately outside the 043 family — this is a documented contract exception.
# Before disabling, return affected.retailers, affected.reps and affected.open_orders (REQ-AD-031).
# Disabling a zone stops new orders from it without affecting orders already placed.
h3. Acceptance criteria
* (/) The affected counts are computed live, never cached or estimated.
* (/) A contract test pins the 034 route so it cannot drift to 043.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</si>
  <si>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64</t>
  </si>
  <si>
    <t xml:space="preserve">BE-R04 — Activity types</t>
  </si>
  <si>
    <t xml:space="preserve">*Module:* Reference    *Layer:* Foundation    *Sprint gate:* SP-03
*Endpoints:* EP-AD-035A, EP-AD-035B, EP-AD-042C, EP-AD-043B
*Tables:* activity_types
*Unblocks frontend:* AD-43
h3. Requirements
# CRUD plus status; an activity type may carry suggested root categories.
# The activity type drives what a retailer is shown after registration.
h3. Acceptance criteria
* (/) Suggested categories are returned with the activity type in public refs.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</si>
  <si>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BE-R05 — Root categories</t>
  </si>
  <si>
    <t xml:space="preserve">*Module:* Reference    *Layer:* Foundation    *Sprint gate:* SP-03
*Endpoints:* EP-AD-036A, EP-AD-036B, EP-AD-042D, EP-AD-043C
*Tables:* root_categories
*Unblocks frontend:* AD-44
h3. Requirements
# CRUD plus status; disabling a category that is in use returns 409 ref_in_use with the usage count.
# Root categories are platform-level; the five-level channel tree in Catalog hangs off them in Layer 2.
h3. Acceptance criteria
* (/) 409 carries the number of dependent records so the message can be specific.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</si>
  <si>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BE-R06 — Sale units</t>
  </si>
  <si>
    <t xml:space="preserve">*Module:* Reference    *Layer:* Foundation    *Sprint gate:* SP-03
*Endpoints:* EP-AD-037A, EP-AD-037B, EP-AD-042E, EP-AD-043D
*Tables:* sale_units
*Unblocks frontend:* AD-45
h3. Requirements
# CRUD plus status; a unit in use cannot be disabled (409 ref_in_use).
# Unit conversion factors belong to the product in Layer 2, not here.
h3. Acceptance criteria
* (/) 409 is returned with the usage context.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</si>
  <si>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BE-R07 — Equipment</t>
  </si>
  <si>
    <t xml:space="preserve">*Module:* Reference    *Layer:* Foundation    *Sprint gate:* SP-03
*Endpoints:* EP-AD-038A, EP-AD-038B, EP-AD-042F, EP-AD-043E
*Tables:* equipments
*Unblocks frontend:* AD-46
h3. Requirements
# CRUD plus status; equipment is used for targeting and recommendations.
h3. Acceptance criteria
* (/) The entity follows the shared reference pattern with no bespoke code.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</si>
  <si>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BE-R08 — Currencies and decimals</t>
  </si>
  <si>
    <t xml:space="preserve">*Module:* Reference    *Layer:* Foundation    *Sprint gate:* SP-03
*Endpoints:* EP-AD-039A, EP-AD-039B, EP-AD-042G, EP-AD-043F
*Tables:* currencies
*Unblocks frontend:* AD-47
h3. Requirements
# Each currency carries a decimals value that governs presentation everywhere; SYP is zero.
# Currency management requires the ad.refs.currency permission, not the general refs permission.
h3. Acceptance criteria
* (/) Storage stays integer regardless of decimals.
* (/) The permission split is enforced server side.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</si>
  <si>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63 24</t>
  </si>
  <si>
    <t xml:space="preserve">BE-R09 — FX rates</t>
  </si>
  <si>
    <t xml:space="preserve">*Module:* Reference    *Layer:* Foundation    *Sprint gate:* SP-03
*Endpoints:* internal
*Tables:* fx_rates
h3. Requirements
# rate is an integer; no float exists on this path.
# Setting is_display_currency atomically clears the previous display currency.
# A rate change never reprices an existing order (BR-AD-19) — orders freeze their currency and rate.
h3. Acceptance criteria
* (/) An architecture test proves no float reaches the FX path.
* (/) Two display currencies cannot exist simultaneously, even under concurrent writes.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</si>
  <si>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70</t>
  </si>
  <si>
    <t xml:space="preserve">BE-R10 — Public references endpoint</t>
  </si>
  <si>
    <t xml:space="preserve">*Module:* Reference    *Layer:* Foundation    *Sprint gate:* SP-03
*Endpoints:* EP-PB-001
*Unblocks frontend:* FE-CORE-05, RP-06, RT-07
h3. Requirements
# Return active activity_types, root_categories, equipments, governorates and zones in one payload.
# Carry meta.sync_cursor and accept since= for a differential response.
# No Bearer and no idempotency key on this path.
# Channels are never included in this payload (REQ-IN-06).
h3. Acceptance criteria
* (/) A since= request returns only what changed.
* (/) The payload is small enough for a low-end device on 3G.
* (/) No channel data leaks through this endpoint under any parameter.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</si>
  <si>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64 65 66 67 69</t>
  </si>
  <si>
    <t xml:space="preserve">BE-R11 — Reference import with dry run</t>
  </si>
  <si>
    <t xml:space="preserve">*Module:* Reference    *Layer:* Foundation    *Sprint gate:* SP-03
*Endpoints:* internal
*Tables:* import_batches
h3. Requirements
# Accept a multipart upload with a type and dry_run flag.
# A dry run validates everything and returns preview rows plus errors[{row, column, message}] without writing.
# Execution requires dry_run=false and a fresh idempotency key.
h3. Acceptance criteria
* (/) A dry run writes nothing, provably.
* (/) Row errors name the exact row and column.
* (/) Re-executing with the same key does not double-import.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</si>
  <si>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63 21</t>
  </si>
  <si>
    <t xml:space="preserve">BE-R12 — Mandatory reason on reference mutations</t>
  </si>
  <si>
    <t xml:space="preserve">*Module:* Reference    *Layer:* Foundation    *Sprint gate:* SP-03
*Endpoints:* internal
h3. Requirements
# Every reference mutation requires a reason in the request body, validated server side.
# The reason is written to the audit log with the before and after values.
h3. Acceptance criteria
* (/) A mutation without a reason is refused with 422 — the client cannot bypass it.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</si>
  <si>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63 22</t>
  </si>
  <si>
    <t xml:space="preserve">BE-T01 — Supply channels and the channel state machine</t>
  </si>
  <si>
    <t xml:space="preserve">*Module:* Tenancy    *Layer:* Foundation    *Sprint gate:* SP-04
*Endpoints:* internal
*Tables:* supply_channels
*Events:* ChannelStatusChanged
h3. Requirements
# Model the channel with its lifecycle states and an explicit allowed_next transition matrix.
# active → archived does not exist as a transition and must not be reachable.
# A status change emits ChannelStatusChanged, which freezes new orders only (BR-AD-14).
# Every transition is recorded with actor, reason and timestamp.
h3. Acceptance criteria
* (/) A disallowed transition returns 409 illegal_transition.
* (/) allowed_next is returned by the API so the client renders exactly the permitted buttons.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</si>
  <si>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tenancy, sp-04</t>
  </si>
  <si>
    <t xml:space="preserve">25</t>
  </si>
  <si>
    <t xml:space="preserve">BE-T02 — Tenant isolation: trait, scope and 404 policy</t>
  </si>
  <si>
    <t xml:space="preserve">*Module:* Tenancy    *Layer:* Foundation    *Sprint gate:* SP-04
*Endpoints:* internal
h3. Requirements
# Every channel-owned model uses the BelongsToChannel trait and carries supply_channel_id with a composite index starting on it.
# ChannelScope is applied automatically; a query without the scope fails a test.
# Changing the channel id in a URL returns 404, never 403 (AC-PM-02) — existence is not disclosed.
# Platform and reference models carry no channel id and are exempt from the scope.
h3. Acceptance criteria
* (/) A channel user cannot read or write another channel row through any path.
* (/) The unscoped-query test fails the build if a scope is forgotten.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</si>
  <si>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75</t>
  </si>
  <si>
    <t xml:space="preserve">BE-T03 — Tenant isolation test suite</t>
  </si>
  <si>
    <t xml:space="preserve">*Module:* Tenancy    *Layer:* Foundation    *Sprint gate:* SP-04
*Endpoints:* internal
h3. Requirements
# Every channel endpoint has a test that authenticates as another channel and expects 404.
# The suite is mandatory: a new channel endpoint without an isolation test cannot be merged.
h3. Acceptance criteria
* (/) Coverage of channel endpoints by isolation tests is 100 percent.
* (/) A deliberately introduced leak is caught by the suite.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</si>
  <si>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76</t>
  </si>
  <si>
    <t xml:space="preserve">BE-T04 — Create channel</t>
  </si>
  <si>
    <t xml:space="preserve">*Module:* Tenancy    *Layer:* Foundation    *Sprint gate:* SP-04
*Endpoints:* EP-AD-051
*Tables:* supply_channels, channel_limits
*Unblocks frontend:* AD-64a, AD-64b, AD-64c
h3. Requirements
# Accept the full payload: name, slug, legal form, commercial register, documents, coverage, logo, internal note, plan, billing cycle, trial days, limits, discount and the manager block.
# Return in well under 500ms with status provisioning and provisioning_job_id — do not wait for active.
# All limits and discounts are integers.
# The request is idempotent: a retry with the same key returns the same channel.
h3. Acceptance criteria
* (/) The response time budget is met under load test.
* (/) A duplicated request creates exactly one channel.
* (/) slug uniqueness is enforced by a database constraint, not only by validation.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</si>
  <si>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75 21</t>
  </si>
  <si>
    <t xml:space="preserve">BE-T05 — Provisioning job and idempotent retry</t>
  </si>
  <si>
    <t xml:space="preserve">*Module:* Tenancy    *Layer:* Foundation    *Sprint gate:* SP-04
*Endpoints:* EP-AD-053
*Tables:* provisioning_jobs
*Unblocks frontend:* AD-65
h3. Requirements
# The job creates the channel workspace: default roles, manager invite, coverage rows, limit rows and feature flags.
# On success the channel moves to active; on failure it records the error and stays retryable.
# Retry is idempotent and safe to call repeatedly.
h3. Acceptance criteria
* (/) A retry after a partial failure completes the remaining steps without duplicating the finished ones.
* (/) A failed provisioning never leaves a half-usable channel that can accept orders.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</si>
  <si>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78 28</t>
  </si>
  <si>
    <t xml:space="preserve">BE-T06 — Channel read and update</t>
  </si>
  <si>
    <t xml:space="preserve">*Module:* Tenancy    *Layer:* Foundation    *Sprint gate:* SP-04
*Endpoints:* EP-AD-052, EP-AD-062
*Unblocks frontend:* AD-65, AD-66, AD-67
h3. Requirements
# Return the channel with its status, allowed_next, plan, limits, coverage summary and KPI figures.
# Update requires a reason and is audited.
# KPI figures are returned as computed, including zeros — never fabricated.
h3. Acceptance criteria
* (/) A brand-new channel returns genuine zeros, not placeholder values.
* (/) The update is refused without a reason.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</si>
  <si>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t>
  </si>
  <si>
    <t xml:space="preserve">BE-T07 — Channel users and manager invite reset</t>
  </si>
  <si>
    <t xml:space="preserve">*Module:* Tenancy    *Layer:* Foundation    *Sprint gate:* SP-04
*Endpoints:* EP-AD-063, EP-AD-064
*Tables:* channel_users
*Unblocks frontend:* AD-68, AD-69
h3. Requirements
# List channel users read only.
# Reset the manager invite with a 72-hour validity; the route is crit and requires password confirmation.
# Resetting invalidates the previous invite immediately.
h3. Acceptance criteria
* (/) The old invite link stops working the moment a new one is issued.
* (/) The route rejects a request without a fresh password confirmation.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</si>
  <si>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78 45</t>
  </si>
  <si>
    <t xml:space="preserve">BE-T08 — Coverage and overlap detection</t>
  </si>
  <si>
    <t xml:space="preserve">*Module:* Tenancy    *Layer:* Foundation    *Sprint gate:* SP-04
*Endpoints:* EP-AD-065A, EP-AD-065B
*Tables:* channel_zone
*Unblocks frontend:* AD-70
h3. Requirements
# Coverage binds a channel to zones, each with its serving warehouse, delivery days, delivery fee, minimum order value and price list.
# Detect and report overlap with other channels before the save is committed.
# A save requires a reason.
# Rep registration validates zone_ids against this coverage.
h3. Acceptance criteria
* (/) Overlap is reported before the write, not discovered afterwards.
* (/) A zone outside coverage is rejected on rep registration with 422.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</si>
  <si>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78 65</t>
  </si>
  <si>
    <t xml:space="preserve">BE-T09 — Channel warehouses (read)</t>
  </si>
  <si>
    <t xml:space="preserve">*Module:* Tenancy    *Layer:* Foundation    *Sprint gate:* SP-04
*Endpoints:* EP-AD-066
*Tables:* warehouses
*Unblocks frontend:* AD-71
h3. Requirements
# Expose the channel warehouse list read only; full warehouse management belongs to Inventory in Layer 2.
h3. Acceptance criteria
* (/) No write route exists on this path in L1.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</si>
  <si>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BE-T10 — Feature flags: plan versus override</t>
  </si>
  <si>
    <t xml:space="preserve">*Module:* Tenancy    *Layer:* Foundation    *Sprint gate:* SP-04
*Endpoints:* EP-AD-067
*Tables:* channel_features
*Unblocks frontend:* AD-72
h3. Requirements
# Resolve the effective feature value and return its source: plan or override.
# The precedence rule is explicit and testable, not implied.
h3. Acceptance criteria
* (/) Every returned value names its source.
* (/) Removing an override falls back to the plan value deterministically.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</si>
  <si>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BE-T11 — Channel usage series</t>
  </si>
  <si>
    <t xml:space="preserve">*Module:* Tenancy    *Layer:* Foundation    *Sprint gate:* SP-04
*Endpoints:* EP-AD-056
*Unblocks frontend:* AD-73
h3. Requirements
# Return a 30-day usage series computed from real counters.
# An empty or all-zero series is a valid response; no gap filling and no smoothing.
h3. Acceptance criteria
* (/) A channel with no activity returns zeros, not an error and not an empty body.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</si>
  <si>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BE-T12 — Limits, overrides and plan enforcement</t>
  </si>
  <si>
    <t xml:space="preserve">*Module:* Tenancy    *Layer:* Foundation    *Sprint gate:* SP-04
*Endpoints:* EP-AD-055
*Tables:* channel_limits
*Unblocks frontend:* AD-74
h3. Requirements
# Override a limit with temporary_until and a mandatory reason.
# Exceeding a limit returns 423 plan_limit_exceeded with the limit named.
# All limits are integers; an expired temporary override reverts automatically.
h3. Acceptance criteria
* (/) An expired override reverts without a scheduled job having to run on time.
* (/) 423 names which limit was hit so the client can explain it.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</si>
  <si>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78 84</t>
  </si>
  <si>
    <t xml:space="preserve">BE-T13 — Channel status transitions</t>
  </si>
  <si>
    <t xml:space="preserve">*Module:* Tenancy    *Layer:* Foundation    *Sprint gate:* SP-04
*Endpoints:* EP-AD-054
*Events:* ChannelStatusChanged
*Unblocks frontend:* AD-75
h3. Requirements
# Expose allowed_next on the channel resource and validate every transition against the matrix.
# Suspension freezes new orders only and does not touch orders in flight.
h3. Acceptance criteria
* (/) A transition absent from allowed_next returns 409 illegal_transition.
* (/) Existing orders continue to progress after suspension.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</si>
  <si>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BE-T14 — Channel data export</t>
  </si>
  <si>
    <t xml:space="preserve">*Module:* Tenancy    *Layer:* Foundation    *Sprint gate:* SP-04
*Endpoints:* EP-AD-057
*Unblocks frontend:* AD-76
h3. Requirements
# Require a password confirmation, then enqueue the export and return job_id.
# The export is scoped strictly to the one channel.
h3. Acceptance criteria
* (/) The produced file contains no row from another channel.
* (/) The request returns immediately.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</si>
  <si>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78 28 45</t>
  </si>
  <si>
    <t xml:space="preserve">BE-T15 — Channel deletion request</t>
  </si>
  <si>
    <t xml:space="preserve">*Module:* Tenancy    *Layer:* Foundation    *Sprint gate:* SP-04
*Endpoints:* EP-AD-058
*Unblocks frontend:* AD-77
h3. Requirements
# Deletion is permitted only from the archived state.
# The request requires the exact channel name, a password, a valid 2FA code and a second approver.
# The response is deletion_request_id — the channel is not deleted by this call.
# Execution after approval is logical, never a hard delete of operational data.
h3. Acceptance criteria
* (/) A deletion attempt from any state other than archived is refused.
* (/) The endpoint never returns a deleted status; only a pending request.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</si>
  <si>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87 23 43</t>
  </si>
  <si>
    <t xml:space="preserve">BE-T16 — Channel list and export</t>
  </si>
  <si>
    <t xml:space="preserve">*Module:* Tenancy    *Layer:* Foundation    *Sprint gate:* SP-04
*Endpoints:* EP-AD-059C
*Unblocks frontend:* AD-61
h3. Requirements
# Filters: status, plan_id, governorate_id, subscription_status, over_limit and idle — all server side.
# Columns include retailer, rep, order and GMV counters computed from real data.
# Export uses the active filters and runs as a job.
h3. Acceptance criteria
* (/) The list query stays inside the interactive budget at production volume.
* (/) No counter is estimated or interpolated.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</si>
  <si>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78 27</t>
  </si>
  <si>
    <t xml:space="preserve">BE-T17 — Bulk manager notification</t>
  </si>
  <si>
    <t xml:space="preserve">*Module:* Tenancy    *Layer:* Foundation    *Sprint gate:* SP-04
*Endpoints:* EP-AD-068
*Unblocks frontend:* AD-62
h3. Requirements
# Accept at most fifty channels and dispatch to their managers on the default queue.
# Return a per-channel result separating delivered from rejected.
h3. Acceptance criteria
* (/) Exceeding fifty is refused with 422.
* (/) A failure for one channel does not abort the rest.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</si>
  <si>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90 95</t>
  </si>
  <si>
    <t xml:space="preserve">BE-T18 — Plan change preview and apply</t>
  </si>
  <si>
    <t xml:space="preserve">*Module:* Tenancy    *Layer:* Foundation    *Sprint gate:* SP-04
*Endpoints:* EP-AD-059A, EP-AD-059B
*Unblocks frontend:* AD-63
h3. Requirements
# Preview returns the delta in limits and features without writing anything.
# Apply requires a reason and moves the subscription atomically.
# A downgrade that would put the channel over a new limit is reported in the preview.
h3. Acceptance criteria
* (/) Preview writes nothing, provably.
* (/) A blocking downgrade is surfaced before the apply, not after.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</si>
  <si>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84 86</t>
  </si>
  <si>
    <t xml:space="preserve">BE-T19 — Channel join applications</t>
  </si>
  <si>
    <t xml:space="preserve">*Module:* Tenancy    *Layer:* Foundation    *Sprint gate:* SP-04
*Endpoints:* internal
*Tables:* channel_applications
h3. Requirements
# GET /platform/channel-applications with filter[status]=under_review.
# Decide approve or reject with a mandatory reason; approval also carries plan_id and trial_days.
# Approval creates a channel in provisioning and hands off to the provisioning job.
h3. Acceptance criteria
* (/) An approved application produces exactly one channel.
* (/) A rejection without a reason is refused.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</si>
  <si>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79</t>
  </si>
  <si>
    <t xml:space="preserve">BE-T20 — Rep invite link issuance</t>
  </si>
  <si>
    <t xml:space="preserve">*Module:* Tenancy    *Layer:* Foundation    *Sprint gate:* SP-04
*Endpoints:* internal
h3. Requirements
# After provisioning, issue a signed invite carrying channel_id for the rep deep link b2b-rep://register?channel_id={id}.
# The invite is bound to one channel and can be revoked and reissued.
# No public endpoint lists channels for reps under any circumstance.
h3. Acceptance criteria
* (/) A revoked invite stops working immediately.
* (/) A tampered channel_id fails signature verification.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</si>
  <si>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BE-X01 — WhatsApp Business API adapter</t>
  </si>
  <si>
    <t xml:space="preserve">*Module:* Integration    *Layer:* Foundation    *Sprint gate:* SP-01
*Endpoints:* internal
*Tables:* integration_settings
h3. Requirements
# Implement the OTP delivery contract behind an interface; the Identity module never calls the vendor directly.
# Delivery runs on the critical queue with retry and a delivery record.
# Credentials live in configuration, never in code.
h3. Acceptance criteria
* (/) Identity has no compile-time knowledge of the provider.
* (/) The provider can be swapped in configuration with no code change.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</si>
  <si>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integration, sp-01</t>
  </si>
  <si>
    <t xml:space="preserve">BE-X02 — SMS fallback adapter</t>
  </si>
  <si>
    <t xml:space="preserve">*Module:* Integration    *Layer:* Foundation    *Sprint gate:* SP-01
*Endpoints:* internal
h3. Requirements
# A second implementation of the same contract, selectable at runtime (REQ-CM-003).
# Automatic fallback on WhatsApp failure, plus explicit user choice through prefer_channel.
# channel_used is reported back to the client.
h3. Acceptance criteria
* (/) Switching the provider requires no application release.
* (/) A WhatsApp outage does not stop registration.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</si>
  <si>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95</t>
  </si>
  <si>
    <t xml:space="preserve">BE-X03 — Media storage adapter</t>
  </si>
  <si>
    <t xml:space="preserve">*Module:* Integration    *Layer:* Foundation    *Sprint gate:* SP-01
*Endpoints:* internal
h3. Requirements
# Uploads are type and size validated, reprocessed, and stored outside the web root.
# Used in L1 by channel documents and logos.
h3. Acceptance criteria
* (/) A file with a spoofed extension is rejected.
* (/) No uploaded file is reachable by a direct guessable URL.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</si>
  <si>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BE-X04 — Error tracking adapter</t>
  </si>
  <si>
    <t xml:space="preserve">*Module:* Integration    *Layer:* Foundation    *Sprint gate:* SP-00
*Endpoints:* internal
h3. Requirements
# Report exceptions with request context while masking phone numbers and tokens.
h3. Acceptance criteria
* (/) No report contains a full phone number or a token.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</si>
  <si>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integration, sp-00</t>
  </si>
  <si>
    <t xml:space="preserve">16</t>
  </si>
  <si>
    <t xml:space="preserve">BE-X05 — Integration health and settings</t>
  </si>
  <si>
    <t xml:space="preserve">*Module:* Integration    *Layer:* Foundation    *Sprint gate:* SP-01
*Endpoints:* internal
*Tables:* integration_health, integration_settings
h3. Requirements
# Record per-provider health: last success, last failure and error rate.
# Expose the state to the platform system-health view and alert on degradation.
h3. Acceptance criteria
* (/) A provider outage is visible before users report it.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</si>
  <si>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BE-Q01 — Architecture test enforcement gate</t>
  </si>
  <si>
    <t xml:space="preserve">*Module:* —    *Layer:* Quality    *Sprint gate:* SP-00
*Endpoints:* internal
h3. Requirements
# Deptrac plus the Pest architecture suite run on every pull request and block the merge on failure.
h3. Acceptance criteria
* (/) A deliberate boundary violation is rejected by CI, not by a reviewer.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</si>
  <si>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BE-Q02 — Tenant isolation coverage gate</t>
  </si>
  <si>
    <t xml:space="preserve">*Module:* —    *Layer:* Quality    *Sprint gate:* SP-04
*Endpoints:* internal
h3. Requirements
# A channel endpoint without an isolation test fails the coverage gate.
h3. Acceptance criteria
* (/) Isolation coverage of channel endpoints is 100 percent and enforced automatically.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</si>
  <si>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infra, sp-04</t>
  </si>
  <si>
    <t xml:space="preserve">77</t>
  </si>
  <si>
    <t xml:space="preserve">BE-Q03 — Contract snapshot tests for mobile resources</t>
  </si>
  <si>
    <t xml:space="preserve">*Module:* —    *Layer:* Quality    *Sprint gate:* SP-01
*Endpoints:* internal
h3. Requirements
# Snapshot every resource consumed by the two mobile apps.
# A shape change fails the test and forces a deliberate contract decision.
h3. Acceptance criteria
* (/) Renaming a field in a resource breaks the build rather than the app in the field.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</si>
  <si>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infra, sp-01</t>
  </si>
  <si>
    <t xml:space="preserve">BE-Q04 — Authorisation bypass test suite</t>
  </si>
  <si>
    <t xml:space="preserve">*Module:* —    *Layer:* Quality    *Sprint gate:* SP-02
*Endpoints:* internal
h3. Requirements
# For every write endpoint, attempt the call without the permission and expect 403 with the permission key.
# For every guard, attempt a token from another guard and expect 403 wrong_guard.
h3. Acceptance criteria
* (/) Feature coverage of authorisation paths is at least 75 percent as required by DOC-02 §17.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</si>
  <si>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L1, backend, infra, sp-02</t>
  </si>
  <si>
    <t xml:space="preserve">62</t>
  </si>
  <si>
    <t xml:space="preserve">BE-Q05 — Load test on the identity path</t>
  </si>
  <si>
    <t xml:space="preserve">*Module:* —    *Layer:* Quality    *Sprint gate:* SP-01
*Endpoints:* internal
h3. Requirements
# k6 scenario covering OTP request, verify and session at the target concurrency.
# Measure the queue depth on the critical queue under load.
h3. Acceptance criteria
* (/) The identity path holds its latency budget at the target concurrency.
* (/) The critical queue does not back up behind other work.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</si>
  <si>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BE-Q06 — Security hardening pass</t>
  </si>
  <si>
    <t xml:space="preserve">*Module:* —    *Layer:* Quality    *Sprint gate:* SP-02
*Endpoints:* internal
h3. Requirements
# TLS enforced, full security headers, CSRF protection on the dashboards.
# Sensitive fields encrypted at rest; phone numbers masked in logs.
# Strict rate limiting on OTP and login with progressive temporary blocks.
# Encrypted daily off-server backup with a documented restore test.
h3. Acceptance criteria
* (/) A plain HTTP request is refused, not redirected.
* (/) The restore test is executed and recorded before L1 closes.
h3. Definition of done
* (/) Merged to main after peer review; Larastan level 6, Pint and Rector all pass.
* (/) Unit and feature tests written and green; engines and money paths at 90%+, endpoints at 75%+.
* (/) Deptrac and the Pest architecture suite pass — no cross-module model import, no float in a money path.
* (/) Every write accepts X-Idempotency-Key unless it is on the documented exemption list.
* (/) Every channel endpoint has an isolation test proving another channel receives 404.
* (/) The endpoint declares its permission explicitly and returns the permission key on a 403.
* (/) Errors follow the unified envelope and the HTTP status map; no raw Laravel payload escapes.
* (/) Every financial, inventory or permission mutation writes an immutable audit entry.
* (/) The OpenAPI document is regenerated and the typed client still builds.
* (/) Deployed to the test environment and accepted by the product owner.</t>
  </si>
  <si>
    <t xml:space="preserve">26 62</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</si>
</sst>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sz val="10"/>
      <color rgb="FF595959"/>
      <name val="Arial"/>
      <family val="0"/>
      <charset val="1"/>
    </font>
    <font>
      <b val="true"/>
      <sz val="13"/>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b val="true"/>
      <sz val="9"/>
      <color rgb="FF1F3864"/>
      <name val="Arial"/>
      <family val="0"/>
      <charset val="1"/>
    </font>
    <font>
      <sz val="9"/>
      <color rgb="FF000000"/>
      <name val="Arial"/>
      <family val="0"/>
      <charset val="1"/>
    </font>
    <font>
      <b val="true"/>
      <sz val="14"/>
      <color rgb="FF1F3864"/>
      <name val="Arial"/>
      <family val="0"/>
      <charset val="1"/>
    </font>
    <font>
      <b val="true"/>
      <sz val="12"/>
      <color rgb="FF1F3864"/>
      <name val="Arial"/>
      <family val="0"/>
      <charset val="1"/>
    </font>
    <font>
      <sz val="9"/>
      <name val="Arial"/>
      <family val="0"/>
      <charset val="1"/>
    </font>
  </fonts>
  <fills count="9">
    <fill>
      <patternFill patternType="none"/>
    </fill>
    <fill>
      <patternFill patternType="gray125"/>
    </fill>
    <fill>
      <patternFill patternType="solid">
        <fgColor rgb="FFFFFFFF"/>
        <bgColor rgb="FFF2F5FB"/>
      </patternFill>
    </fill>
    <fill>
      <patternFill patternType="solid">
        <fgColor rgb="FFF2F5FB"/>
        <bgColor rgb="FFFFFFFF"/>
      </patternFill>
    </fill>
    <fill>
      <patternFill patternType="solid">
        <fgColor rgb="FF1F3864"/>
        <bgColor rgb="FF333333"/>
      </patternFill>
    </fill>
    <fill>
      <patternFill patternType="solid">
        <fgColor rgb="FFE2EFDA"/>
        <bgColor rgb="FFF2F5FB"/>
      </patternFill>
    </fill>
    <fill>
      <patternFill patternType="solid">
        <fgColor rgb="FFF4CCCC"/>
        <bgColor rgb="FFFCE5CD"/>
      </patternFill>
    </fill>
    <fill>
      <patternFill patternType="solid">
        <fgColor rgb="FFFCE5CD"/>
        <bgColor rgb="FFFFF2CC"/>
      </patternFill>
    </fill>
    <fill>
      <patternFill patternType="solid">
        <fgColor rgb="FFFFF2CC"/>
        <bgColor rgb="FFFCE5CD"/>
      </patternFill>
    </fill>
  </fills>
  <borders count="2">
    <border diagonalUp="false" diagonalDown="false">
      <left/>
      <right/>
      <top/>
      <bottom/>
      <diagonal/>
    </border>
    <border diagonalUp="false" diagonalDown="false">
      <left style="thin">
        <color rgb="FFB4C0D8"/>
      </left>
      <right style="thin">
        <color rgb="FFB4C0D8"/>
      </right>
      <top style="thin">
        <color rgb="FFB4C0D8"/>
      </top>
      <bottom style="thin">
        <color rgb="FFB4C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12" fillId="2" borderId="1" xfId="0" applyFont="true" applyBorder="true" applyAlignment="true" applyProtection="false">
      <alignment horizontal="center" vertical="top"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5" fontId="7"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center" vertical="bottom" textRotation="0" wrapText="false" indent="0" shrinkToFit="false"/>
      <protection locked="true" hidden="false"/>
    </xf>
    <xf numFmtId="165" fontId="7" fillId="3"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4" fontId="8" fillId="3" borderId="1" xfId="0" applyFont="true" applyBorder="true" applyAlignment="true" applyProtection="false">
      <alignment horizontal="center" vertical="bottom" textRotation="0" wrapText="true" indent="0" shrinkToFit="false"/>
      <protection locked="true" hidden="false"/>
    </xf>
    <xf numFmtId="164" fontId="8" fillId="3" borderId="1" xfId="0" applyFont="true" applyBorder="true" applyAlignment="true" applyProtection="false">
      <alignment horizontal="left" vertical="bottom"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5FB"/>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F7B6C"/>
      <rgbColor rgb="FFB4C0D8"/>
      <rgbColor rgb="FF7F7F7F"/>
      <rgbColor rgb="FF9999FF"/>
      <rgbColor rgb="FF7030A0"/>
      <rgbColor rgb="FFFFF2CC"/>
      <rgbColor rgb="FFF2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5CD"/>
      <rgbColor rgb="FF99CCFF"/>
      <rgbColor rgb="FFFF99CC"/>
      <rgbColor rgb="FFCC99FF"/>
      <rgbColor rgb="FFF4CCCC"/>
      <rgbColor rgb="FF3366FF"/>
      <rgbColor rgb="FF33CCCC"/>
      <rgbColor rgb="FF99CC00"/>
      <rgbColor rgb="FFFFCC00"/>
      <rgbColor rgb="FFBF8F00"/>
      <rgbColor rgb="FFC55A11"/>
      <rgbColor rgb="FF595959"/>
      <rgbColor rgb="FF969696"/>
      <rgbColor rgb="FF1F3864"/>
      <rgbColor rgb="FF339966"/>
      <rgbColor rgb="FF003300"/>
      <rgbColor rgb="FF333300"/>
      <rgbColor rgb="FF9C2A21"/>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42"/>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27.75" hidden="false" customHeight="true" outlineLevel="0" collapsed="false">
      <c r="A1" s="1" t="s">
        <v>0</v>
      </c>
    </row>
    <row r="2" customFormat="false" ht="27.75" hidden="false" customHeight="true" outlineLevel="0" collapsed="false">
      <c r="A2" s="2" t="s">
        <v>1</v>
      </c>
      <c r="B2" s="2"/>
    </row>
    <row r="4" customFormat="false" ht="16.15" hidden="false" customHeight="false" outlineLevel="0" collapsed="false">
      <c r="A4" s="3" t="s">
        <v>2</v>
      </c>
    </row>
    <row r="5" customFormat="false" ht="13.5" hidden="false" customHeight="true" outlineLevel="0" collapsed="false">
      <c r="A5" s="4" t="s">
        <v>3</v>
      </c>
      <c r="B5" s="5" t="s">
        <v>4</v>
      </c>
    </row>
    <row r="6" customFormat="false" ht="13.5" hidden="false" customHeight="true" outlineLevel="0" collapsed="false">
      <c r="A6" s="6" t="s">
        <v>5</v>
      </c>
      <c r="B6" s="7" t="s">
        <v>6</v>
      </c>
    </row>
    <row r="7" customFormat="false" ht="27.75" hidden="false" customHeight="true" outlineLevel="0" collapsed="false">
      <c r="A7" s="4" t="s">
        <v>7</v>
      </c>
      <c r="B7" s="5" t="s">
        <v>8</v>
      </c>
    </row>
    <row r="8" customFormat="false" ht="13.5" hidden="false" customHeight="true" outlineLevel="0" collapsed="false">
      <c r="A8" s="6" t="s">
        <v>9</v>
      </c>
      <c r="B8" s="7" t="s">
        <v>10</v>
      </c>
    </row>
    <row r="9" customFormat="false" ht="13.5" hidden="false" customHeight="true" outlineLevel="0" collapsed="false">
      <c r="A9" s="4" t="s">
        <v>11</v>
      </c>
      <c r="B9" s="5" t="s">
        <v>12</v>
      </c>
    </row>
    <row r="10" customFormat="false" ht="13.5" hidden="false" customHeight="true" outlineLevel="0" collapsed="false">
      <c r="A10" s="6" t="s">
        <v>13</v>
      </c>
      <c r="B10" s="7" t="s">
        <v>14</v>
      </c>
    </row>
    <row r="11" customFormat="false" ht="13.5" hidden="false" customHeight="true" outlineLevel="0" collapsed="false">
      <c r="A11" s="4" t="s">
        <v>15</v>
      </c>
      <c r="B11" s="5" t="s">
        <v>16</v>
      </c>
    </row>
    <row r="12" customFormat="false" ht="13.5" hidden="false" customHeight="true" outlineLevel="0" collapsed="false">
      <c r="A12" s="6" t="s">
        <v>17</v>
      </c>
      <c r="B12" s="7" t="s">
        <v>18</v>
      </c>
    </row>
    <row r="13" customFormat="false" ht="13.5" hidden="false" customHeight="true" outlineLevel="0" collapsed="false">
      <c r="A13" s="4" t="s">
        <v>19</v>
      </c>
      <c r="B13" s="5" t="s">
        <v>20</v>
      </c>
    </row>
    <row r="14" customFormat="false" ht="13.5" hidden="false" customHeight="true" outlineLevel="0" collapsed="false">
      <c r="A14" s="6" t="s">
        <v>21</v>
      </c>
      <c r="B14" s="7" t="s">
        <v>22</v>
      </c>
    </row>
    <row r="15" customFormat="false" ht="13.5" hidden="false" customHeight="true" outlineLevel="0" collapsed="false">
      <c r="A15" s="4" t="s">
        <v>23</v>
      </c>
      <c r="B15" s="5" t="s">
        <v>24</v>
      </c>
    </row>
    <row r="16" customFormat="false" ht="13.5" hidden="false" customHeight="true" outlineLevel="0" collapsed="false">
      <c r="A16" s="6" t="s">
        <v>25</v>
      </c>
      <c r="B16" s="7" t="s">
        <v>26</v>
      </c>
    </row>
    <row r="17" customFormat="false" ht="13.5" hidden="false" customHeight="true" outlineLevel="0" collapsed="false">
      <c r="A17" s="4" t="s">
        <v>27</v>
      </c>
      <c r="B17" s="5" t="s">
        <v>28</v>
      </c>
    </row>
    <row r="19" customFormat="false" ht="16.15" hidden="false" customHeight="false" outlineLevel="0" collapsed="false">
      <c r="A19" s="3" t="s">
        <v>29</v>
      </c>
    </row>
    <row r="20" customFormat="false" ht="27.75" hidden="false" customHeight="true" outlineLevel="0" collapsed="false">
      <c r="A20" s="4" t="s">
        <v>30</v>
      </c>
      <c r="B20" s="5" t="s">
        <v>31</v>
      </c>
    </row>
    <row r="21" customFormat="false" ht="27.75" hidden="false" customHeight="true" outlineLevel="0" collapsed="false">
      <c r="A21" s="6" t="s">
        <v>32</v>
      </c>
      <c r="B21" s="7" t="s">
        <v>33</v>
      </c>
    </row>
    <row r="22" customFormat="false" ht="27.75" hidden="false" customHeight="true" outlineLevel="0" collapsed="false">
      <c r="A22" s="4" t="s">
        <v>34</v>
      </c>
      <c r="B22" s="5" t="s">
        <v>35</v>
      </c>
    </row>
    <row r="24" customFormat="false" ht="16.15" hidden="false" customHeight="false" outlineLevel="0" collapsed="false">
      <c r="A24" s="3" t="s">
        <v>36</v>
      </c>
    </row>
    <row r="25" customFormat="false" ht="13.5" hidden="false" customHeight="true" outlineLevel="0" collapsed="false">
      <c r="A25" s="4" t="s">
        <v>37</v>
      </c>
      <c r="B25" s="5" t="s">
        <v>38</v>
      </c>
    </row>
    <row r="26" customFormat="false" ht="13.5" hidden="false" customHeight="true" outlineLevel="0" collapsed="false">
      <c r="A26" s="6" t="s">
        <v>39</v>
      </c>
      <c r="B26" s="7" t="s">
        <v>40</v>
      </c>
    </row>
    <row r="27" customFormat="false" ht="13.5" hidden="false" customHeight="true" outlineLevel="0" collapsed="false">
      <c r="A27" s="4" t="s">
        <v>41</v>
      </c>
      <c r="B27" s="5" t="s">
        <v>42</v>
      </c>
    </row>
    <row r="28" customFormat="false" ht="13.5" hidden="false" customHeight="true" outlineLevel="0" collapsed="false">
      <c r="A28" s="6" t="s">
        <v>43</v>
      </c>
      <c r="B28" s="7" t="s">
        <v>44</v>
      </c>
    </row>
    <row r="29" customFormat="false" ht="13.5" hidden="false" customHeight="true" outlineLevel="0" collapsed="false">
      <c r="A29" s="4" t="s">
        <v>45</v>
      </c>
      <c r="B29" s="5" t="s">
        <v>46</v>
      </c>
    </row>
    <row r="30" customFormat="false" ht="13.5" hidden="false" customHeight="true" outlineLevel="0" collapsed="false">
      <c r="A30" s="6" t="s">
        <v>47</v>
      </c>
      <c r="B30" s="7" t="s">
        <v>48</v>
      </c>
    </row>
    <row r="31" customFormat="false" ht="13.5" hidden="false" customHeight="true" outlineLevel="0" collapsed="false">
      <c r="A31" s="4" t="s">
        <v>49</v>
      </c>
      <c r="B31" s="5" t="s">
        <v>50</v>
      </c>
    </row>
    <row r="32" customFormat="false" ht="13.5" hidden="false" customHeight="true" outlineLevel="0" collapsed="false">
      <c r="A32" s="6" t="s">
        <v>51</v>
      </c>
      <c r="B32" s="7" t="s">
        <v>52</v>
      </c>
    </row>
    <row r="33" customFormat="false" ht="13.5" hidden="false" customHeight="true" outlineLevel="0" collapsed="false">
      <c r="A33" s="4" t="s">
        <v>53</v>
      </c>
      <c r="B33" s="5" t="s">
        <v>54</v>
      </c>
    </row>
    <row r="34" customFormat="false" ht="13.5" hidden="false" customHeight="true" outlineLevel="0" collapsed="false">
      <c r="A34" s="6" t="s">
        <v>55</v>
      </c>
      <c r="B34" s="7" t="s">
        <v>56</v>
      </c>
    </row>
    <row r="36" customFormat="false" ht="16.15" hidden="false" customHeight="false" outlineLevel="0" collapsed="false">
      <c r="A36" s="3" t="s">
        <v>57</v>
      </c>
    </row>
    <row r="37" customFormat="false" ht="15" hidden="false" customHeight="false" outlineLevel="0" collapsed="false">
      <c r="A37" s="8" t="s">
        <v>58</v>
      </c>
      <c r="B37" s="9" t="n">
        <f aca="false">COUNTA(Backlog!A2:A98)</f>
        <v>97</v>
      </c>
    </row>
    <row r="38" customFormat="false" ht="15" hidden="false" customHeight="false" outlineLevel="0" collapsed="false">
      <c r="A38" s="8" t="s">
        <v>59</v>
      </c>
      <c r="B38" s="9" t="n">
        <f aca="false">SUM(Backlog!M2:M98)</f>
        <v>378</v>
      </c>
    </row>
    <row r="39" customFormat="false" ht="15" hidden="false" customHeight="false" outlineLevel="0" collapsed="false">
      <c r="A39" s="8" t="s">
        <v>5</v>
      </c>
      <c r="B39" s="9" t="n">
        <f aca="false">COUNTA(Epics!A2:A50)</f>
        <v>8</v>
      </c>
    </row>
    <row r="40" customFormat="false" ht="15" hidden="false" customHeight="false" outlineLevel="0" collapsed="false">
      <c r="A40" s="8" t="s">
        <v>60</v>
      </c>
      <c r="B40" s="9" t="n">
        <f aca="false">COUNTA('API Delivery'!A2:A200)</f>
        <v>75</v>
      </c>
    </row>
    <row r="41" customFormat="false" ht="15" hidden="false" customHeight="false" outlineLevel="0" collapsed="false">
      <c r="A41" s="8" t="s">
        <v>61</v>
      </c>
      <c r="B41" s="9" t="s">
        <v>62</v>
      </c>
    </row>
    <row r="42" customFormat="false" ht="15" hidden="false" customHeight="false" outlineLevel="0" collapsed="false">
      <c r="A42" s="8" t="s">
        <v>63</v>
      </c>
      <c r="B42" s="9" t="n">
        <f aca="false">COUNTA(Dependencies!A2:A300)</f>
        <v>129</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F2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5"/>
    <col collapsed="false" customWidth="true" hidden="false" outlineLevel="0" max="4" min="4" style="0" width="11"/>
    <col collapsed="false" customWidth="true" hidden="false" outlineLevel="0" max="6" min="5" style="0" width="62"/>
  </cols>
  <sheetData>
    <row r="1" customFormat="false" ht="30" hidden="false" customHeight="true" outlineLevel="0" collapsed="false">
      <c r="A1" s="10" t="s">
        <v>64</v>
      </c>
      <c r="B1" s="10" t="s">
        <v>65</v>
      </c>
      <c r="C1" s="10" t="s">
        <v>66</v>
      </c>
      <c r="D1" s="10" t="s">
        <v>67</v>
      </c>
      <c r="E1" s="10" t="s">
        <v>68</v>
      </c>
      <c r="F1" s="10" t="s">
        <v>69</v>
      </c>
    </row>
    <row r="2" customFormat="false" ht="28.5" hidden="false" customHeight="true" outlineLevel="0" collapsed="false">
      <c r="A2" s="11" t="n">
        <v>1</v>
      </c>
      <c r="B2" s="12" t="s">
        <v>70</v>
      </c>
      <c r="C2" s="12" t="s">
        <v>71</v>
      </c>
      <c r="D2" s="13" t="s">
        <v>72</v>
      </c>
      <c r="E2" s="12" t="s">
        <v>73</v>
      </c>
      <c r="F2" s="12" t="s">
        <v>74</v>
      </c>
    </row>
    <row r="3" customFormat="false" ht="28.5" hidden="false" customHeight="true" outlineLevel="0" collapsed="false">
      <c r="A3" s="11" t="n">
        <v>2</v>
      </c>
      <c r="B3" s="12" t="s">
        <v>75</v>
      </c>
      <c r="C3" s="12" t="s">
        <v>71</v>
      </c>
      <c r="D3" s="13" t="s">
        <v>72</v>
      </c>
      <c r="E3" s="12" t="s">
        <v>76</v>
      </c>
      <c r="F3" s="12" t="s">
        <v>77</v>
      </c>
    </row>
    <row r="4" customFormat="false" ht="28.5" hidden="false" customHeight="true" outlineLevel="0" collapsed="false">
      <c r="A4" s="11" t="n">
        <v>3</v>
      </c>
      <c r="B4" s="12" t="s">
        <v>78</v>
      </c>
      <c r="C4" s="12" t="s">
        <v>71</v>
      </c>
      <c r="D4" s="13" t="s">
        <v>72</v>
      </c>
      <c r="E4" s="12" t="s">
        <v>79</v>
      </c>
      <c r="F4" s="12" t="s">
        <v>80</v>
      </c>
    </row>
    <row r="5" customFormat="false" ht="28.5" hidden="false" customHeight="true" outlineLevel="0" collapsed="false">
      <c r="A5" s="11" t="n">
        <v>4</v>
      </c>
      <c r="B5" s="12" t="s">
        <v>81</v>
      </c>
      <c r="C5" s="12" t="s">
        <v>71</v>
      </c>
      <c r="D5" s="13" t="s">
        <v>72</v>
      </c>
      <c r="E5" s="12" t="s">
        <v>82</v>
      </c>
      <c r="F5" s="12" t="s">
        <v>83</v>
      </c>
    </row>
    <row r="6" customFormat="false" ht="28.5" hidden="false" customHeight="true" outlineLevel="0" collapsed="false">
      <c r="A6" s="11" t="n">
        <v>5</v>
      </c>
      <c r="B6" s="12" t="s">
        <v>84</v>
      </c>
      <c r="C6" s="12" t="s">
        <v>71</v>
      </c>
      <c r="D6" s="13" t="s">
        <v>72</v>
      </c>
      <c r="E6" s="12" t="s">
        <v>85</v>
      </c>
      <c r="F6" s="12" t="s">
        <v>86</v>
      </c>
    </row>
    <row r="7" customFormat="false" ht="28.5" hidden="false" customHeight="true" outlineLevel="0" collapsed="false">
      <c r="A7" s="11" t="n">
        <v>6</v>
      </c>
      <c r="B7" s="12" t="s">
        <v>87</v>
      </c>
      <c r="C7" s="12" t="s">
        <v>71</v>
      </c>
      <c r="D7" s="13" t="s">
        <v>72</v>
      </c>
      <c r="E7" s="12" t="s">
        <v>88</v>
      </c>
      <c r="F7" s="12" t="s">
        <v>89</v>
      </c>
    </row>
    <row r="8" customFormat="false" ht="28.5" hidden="false" customHeight="true" outlineLevel="0" collapsed="false">
      <c r="A8" s="14" t="n">
        <v>7</v>
      </c>
      <c r="B8" s="15" t="s">
        <v>90</v>
      </c>
      <c r="C8" s="15" t="s">
        <v>91</v>
      </c>
      <c r="D8" s="16" t="s">
        <v>92</v>
      </c>
      <c r="E8" s="15" t="s">
        <v>93</v>
      </c>
      <c r="F8" s="15" t="s">
        <v>94</v>
      </c>
    </row>
    <row r="9" customFormat="false" ht="28.5" hidden="false" customHeight="true" outlineLevel="0" collapsed="false">
      <c r="A9" s="17" t="n">
        <v>8</v>
      </c>
      <c r="B9" s="18" t="s">
        <v>95</v>
      </c>
      <c r="C9" s="18" t="s">
        <v>91</v>
      </c>
      <c r="D9" s="19" t="s">
        <v>92</v>
      </c>
      <c r="E9" s="18" t="s">
        <v>96</v>
      </c>
      <c r="F9" s="18" t="s">
        <v>97</v>
      </c>
    </row>
    <row r="10" customFormat="false" ht="28.5" hidden="false" customHeight="true" outlineLevel="0" collapsed="false">
      <c r="A10" s="14" t="n">
        <v>9</v>
      </c>
      <c r="B10" s="15" t="s">
        <v>98</v>
      </c>
      <c r="C10" s="15" t="s">
        <v>91</v>
      </c>
      <c r="D10" s="16" t="s">
        <v>92</v>
      </c>
      <c r="E10" s="15" t="s">
        <v>99</v>
      </c>
      <c r="F10" s="15" t="s">
        <v>100</v>
      </c>
    </row>
    <row r="11" customFormat="false" ht="28.5" hidden="false" customHeight="true" outlineLevel="0" collapsed="false">
      <c r="A11" s="17" t="n">
        <v>10</v>
      </c>
      <c r="B11" s="18" t="s">
        <v>101</v>
      </c>
      <c r="C11" s="18" t="s">
        <v>91</v>
      </c>
      <c r="D11" s="19" t="s">
        <v>92</v>
      </c>
      <c r="E11" s="18" t="s">
        <v>102</v>
      </c>
      <c r="F11" s="18" t="s">
        <v>103</v>
      </c>
    </row>
    <row r="12" customFormat="false" ht="28.5" hidden="false" customHeight="true" outlineLevel="0" collapsed="false">
      <c r="A12" s="14" t="n">
        <v>11</v>
      </c>
      <c r="B12" s="15" t="s">
        <v>104</v>
      </c>
      <c r="C12" s="15" t="s">
        <v>91</v>
      </c>
      <c r="D12" s="16" t="s">
        <v>92</v>
      </c>
      <c r="E12" s="15" t="s">
        <v>105</v>
      </c>
      <c r="F12" s="15" t="s">
        <v>106</v>
      </c>
    </row>
    <row r="13" customFormat="false" ht="28.5" hidden="false" customHeight="true" outlineLevel="0" collapsed="false">
      <c r="A13" s="17" t="n">
        <v>12</v>
      </c>
      <c r="B13" s="18" t="s">
        <v>107</v>
      </c>
      <c r="C13" s="18" t="s">
        <v>91</v>
      </c>
      <c r="D13" s="19" t="s">
        <v>92</v>
      </c>
      <c r="E13" s="18" t="s">
        <v>108</v>
      </c>
      <c r="F13" s="18" t="s">
        <v>109</v>
      </c>
    </row>
    <row r="14" customFormat="false" ht="28.5" hidden="false" customHeight="true" outlineLevel="0" collapsed="false">
      <c r="A14" s="14" t="n">
        <v>13</v>
      </c>
      <c r="B14" s="15" t="s">
        <v>110</v>
      </c>
      <c r="C14" s="15" t="s">
        <v>91</v>
      </c>
      <c r="D14" s="16" t="s">
        <v>92</v>
      </c>
      <c r="E14" s="15" t="s">
        <v>111</v>
      </c>
      <c r="F14" s="15" t="s">
        <v>112</v>
      </c>
    </row>
    <row r="15" customFormat="false" ht="17.25" hidden="false" customHeight="true" outlineLevel="0" collapsed="false">
      <c r="A15" s="17" t="n">
        <v>14</v>
      </c>
      <c r="B15" s="18" t="s">
        <v>113</v>
      </c>
      <c r="C15" s="18" t="s">
        <v>91</v>
      </c>
      <c r="D15" s="19" t="s">
        <v>92</v>
      </c>
      <c r="E15" s="18" t="s">
        <v>114</v>
      </c>
      <c r="F15" s="18" t="s">
        <v>115</v>
      </c>
    </row>
    <row r="16" customFormat="false" ht="28.5" hidden="false" customHeight="true" outlineLevel="0" collapsed="false">
      <c r="A16" s="14" t="n">
        <v>15</v>
      </c>
      <c r="B16" s="15" t="s">
        <v>116</v>
      </c>
      <c r="C16" s="15" t="s">
        <v>91</v>
      </c>
      <c r="D16" s="16" t="s">
        <v>92</v>
      </c>
      <c r="E16" s="15" t="s">
        <v>117</v>
      </c>
      <c r="F16" s="15" t="s">
        <v>118</v>
      </c>
    </row>
    <row r="17" customFormat="false" ht="28.5" hidden="false" customHeight="true" outlineLevel="0" collapsed="false">
      <c r="A17" s="17" t="n">
        <v>16</v>
      </c>
      <c r="B17" s="18" t="s">
        <v>119</v>
      </c>
      <c r="C17" s="18" t="s">
        <v>120</v>
      </c>
      <c r="D17" s="19" t="s">
        <v>92</v>
      </c>
      <c r="E17" s="18" t="s">
        <v>121</v>
      </c>
      <c r="F17" s="18" t="s">
        <v>122</v>
      </c>
    </row>
    <row r="18" customFormat="false" ht="28.5" hidden="false" customHeight="true" outlineLevel="0" collapsed="false">
      <c r="A18" s="14" t="n">
        <v>17</v>
      </c>
      <c r="B18" s="15" t="s">
        <v>123</v>
      </c>
      <c r="C18" s="15" t="s">
        <v>120</v>
      </c>
      <c r="D18" s="16" t="s">
        <v>92</v>
      </c>
      <c r="E18" s="15" t="s">
        <v>124</v>
      </c>
      <c r="F18" s="15" t="s">
        <v>125</v>
      </c>
    </row>
    <row r="19" customFormat="false" ht="28.5" hidden="false" customHeight="true" outlineLevel="0" collapsed="false">
      <c r="A19" s="17" t="n">
        <v>18</v>
      </c>
      <c r="B19" s="18" t="s">
        <v>126</v>
      </c>
      <c r="C19" s="18" t="s">
        <v>120</v>
      </c>
      <c r="D19" s="19" t="s">
        <v>92</v>
      </c>
      <c r="E19" s="18" t="s">
        <v>127</v>
      </c>
      <c r="F19" s="18" t="s">
        <v>128</v>
      </c>
    </row>
    <row r="20" customFormat="false" ht="28.5" hidden="false" customHeight="true" outlineLevel="0" collapsed="false">
      <c r="A20" s="14" t="n">
        <v>19</v>
      </c>
      <c r="B20" s="15" t="s">
        <v>129</v>
      </c>
      <c r="C20" s="15" t="s">
        <v>120</v>
      </c>
      <c r="D20" s="16" t="s">
        <v>92</v>
      </c>
      <c r="E20" s="15" t="s">
        <v>130</v>
      </c>
      <c r="F20" s="15" t="s">
        <v>131</v>
      </c>
    </row>
    <row r="21" customFormat="false" ht="28.5" hidden="false" customHeight="true" outlineLevel="0" collapsed="false">
      <c r="A21" s="17" t="n">
        <v>20</v>
      </c>
      <c r="B21" s="18" t="s">
        <v>132</v>
      </c>
      <c r="C21" s="18" t="s">
        <v>120</v>
      </c>
      <c r="D21" s="19" t="s">
        <v>92</v>
      </c>
      <c r="E21" s="18" t="s">
        <v>133</v>
      </c>
      <c r="F21" s="18" t="s">
        <v>134</v>
      </c>
    </row>
    <row r="22" customFormat="false" ht="28.5" hidden="false" customHeight="true" outlineLevel="0" collapsed="false">
      <c r="A22" s="14" t="n">
        <v>21</v>
      </c>
      <c r="B22" s="15" t="s">
        <v>135</v>
      </c>
      <c r="C22" s="15" t="s">
        <v>120</v>
      </c>
      <c r="D22" s="16" t="s">
        <v>92</v>
      </c>
      <c r="E22" s="15" t="s">
        <v>136</v>
      </c>
      <c r="F22" s="15" t="s">
        <v>137</v>
      </c>
    </row>
    <row r="23" customFormat="false" ht="17.25" hidden="false" customHeight="true" outlineLevel="0" collapsed="false">
      <c r="A23" s="17" t="n">
        <v>22</v>
      </c>
      <c r="B23" s="18" t="s">
        <v>138</v>
      </c>
      <c r="C23" s="18" t="s">
        <v>120</v>
      </c>
      <c r="D23" s="19" t="s">
        <v>92</v>
      </c>
      <c r="E23" s="18" t="s">
        <v>139</v>
      </c>
      <c r="F23" s="18" t="s">
        <v>140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0"/>
    <col collapsed="false" customWidth="true" hidden="false" outlineLevel="0" max="3" min="3" style="0" width="60"/>
    <col collapsed="false" customWidth="true" hidden="false" outlineLevel="0" max="5" min="4" style="0" width="8"/>
    <col collapsed="false" customWidth="true" hidden="false" outlineLevel="0" max="6" min="6" style="0" width="18"/>
  </cols>
  <sheetData>
    <row r="1" customFormat="false" ht="30" hidden="false" customHeight="true" outlineLevel="0" collapsed="false">
      <c r="A1" s="10" t="s">
        <v>141</v>
      </c>
      <c r="B1" s="10" t="s">
        <v>142</v>
      </c>
      <c r="C1" s="10" t="s">
        <v>143</v>
      </c>
      <c r="D1" s="10" t="s">
        <v>144</v>
      </c>
      <c r="E1" s="10" t="s">
        <v>145</v>
      </c>
      <c r="F1" s="10" t="s">
        <v>146</v>
      </c>
    </row>
    <row r="2" customFormat="false" ht="28.5" hidden="false" customHeight="true" outlineLevel="0" collapsed="false">
      <c r="A2" s="20" t="s">
        <v>147</v>
      </c>
      <c r="B2" s="15" t="s">
        <v>148</v>
      </c>
      <c r="C2" s="15" t="s">
        <v>149</v>
      </c>
      <c r="D2" s="16" t="n">
        <v>10</v>
      </c>
      <c r="E2" s="16" t="n">
        <v>34</v>
      </c>
      <c r="F2" s="15" t="s">
        <v>150</v>
      </c>
    </row>
    <row r="3" customFormat="false" ht="28.5" hidden="false" customHeight="true" outlineLevel="0" collapsed="false">
      <c r="A3" s="21" t="s">
        <v>151</v>
      </c>
      <c r="B3" s="18" t="s">
        <v>152</v>
      </c>
      <c r="C3" s="18" t="s">
        <v>153</v>
      </c>
      <c r="D3" s="19" t="n">
        <v>10</v>
      </c>
      <c r="E3" s="19" t="n">
        <v>40</v>
      </c>
      <c r="F3" s="18" t="s">
        <v>150</v>
      </c>
    </row>
    <row r="4" customFormat="false" ht="28.5" hidden="false" customHeight="true" outlineLevel="0" collapsed="false">
      <c r="A4" s="20" t="s">
        <v>154</v>
      </c>
      <c r="B4" s="15" t="s">
        <v>155</v>
      </c>
      <c r="C4" s="15" t="s">
        <v>156</v>
      </c>
      <c r="D4" s="16" t="n">
        <v>18</v>
      </c>
      <c r="E4" s="16" t="n">
        <v>70</v>
      </c>
      <c r="F4" s="15" t="s">
        <v>157</v>
      </c>
    </row>
    <row r="5" customFormat="false" ht="28.5" hidden="false" customHeight="true" outlineLevel="0" collapsed="false">
      <c r="A5" s="21" t="s">
        <v>158</v>
      </c>
      <c r="B5" s="18" t="s">
        <v>159</v>
      </c>
      <c r="C5" s="18" t="s">
        <v>160</v>
      </c>
      <c r="D5" s="19" t="n">
        <v>16</v>
      </c>
      <c r="E5" s="19" t="n">
        <v>67</v>
      </c>
      <c r="F5" s="18" t="s">
        <v>161</v>
      </c>
    </row>
    <row r="6" customFormat="false" ht="17.25" hidden="false" customHeight="true" outlineLevel="0" collapsed="false">
      <c r="A6" s="20" t="s">
        <v>162</v>
      </c>
      <c r="B6" s="15" t="s">
        <v>163</v>
      </c>
      <c r="C6" s="15" t="s">
        <v>164</v>
      </c>
      <c r="D6" s="16" t="n">
        <v>12</v>
      </c>
      <c r="E6" s="16" t="n">
        <v>43</v>
      </c>
      <c r="F6" s="15" t="s">
        <v>165</v>
      </c>
    </row>
    <row r="7" customFormat="false" ht="28.5" hidden="false" customHeight="true" outlineLevel="0" collapsed="false">
      <c r="A7" s="21" t="s">
        <v>166</v>
      </c>
      <c r="B7" s="18" t="s">
        <v>167</v>
      </c>
      <c r="C7" s="18" t="s">
        <v>168</v>
      </c>
      <c r="D7" s="19" t="n">
        <v>20</v>
      </c>
      <c r="E7" s="19" t="n">
        <v>86</v>
      </c>
      <c r="F7" s="18" t="s">
        <v>169</v>
      </c>
    </row>
    <row r="8" customFormat="false" ht="28.5" hidden="false" customHeight="true" outlineLevel="0" collapsed="false">
      <c r="A8" s="20" t="s">
        <v>170</v>
      </c>
      <c r="B8" s="15" t="s">
        <v>171</v>
      </c>
      <c r="C8" s="15" t="s">
        <v>172</v>
      </c>
      <c r="D8" s="16" t="n">
        <v>5</v>
      </c>
      <c r="E8" s="16" t="n">
        <v>16</v>
      </c>
      <c r="F8" s="15" t="s">
        <v>173</v>
      </c>
    </row>
    <row r="9" customFormat="false" ht="28.5" hidden="false" customHeight="true" outlineLevel="0" collapsed="false">
      <c r="A9" s="21" t="s">
        <v>174</v>
      </c>
      <c r="B9" s="18" t="s">
        <v>175</v>
      </c>
      <c r="C9" s="18" t="s">
        <v>176</v>
      </c>
      <c r="D9" s="19" t="n">
        <v>6</v>
      </c>
      <c r="E9" s="19" t="n">
        <v>22</v>
      </c>
      <c r="F9" s="18" t="s">
        <v>177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true"/>
  </sheetPr>
  <dimension ref="A1:P9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3" min="2" style="0" width="13"/>
    <col collapsed="false" customWidth="true" hidden="false" outlineLevel="0" max="4" min="4" style="0" width="30"/>
    <col collapsed="false" customWidth="true" hidden="false" outlineLevel="0" max="5" min="5" style="0" width="12"/>
    <col collapsed="false" customWidth="true" hidden="false" outlineLevel="0" max="6" min="6" style="0" width="11"/>
    <col collapsed="false" customWidth="true" hidden="false" outlineLevel="0" max="8" min="7" style="0" width="26"/>
    <col collapsed="false" customWidth="true" hidden="false" outlineLevel="0" max="9" min="9" style="0" width="16"/>
    <col collapsed="false" customWidth="true" hidden="false" outlineLevel="0" max="10" min="10" style="0" width="62"/>
    <col collapsed="false" customWidth="true" hidden="false" outlineLevel="0" max="11" min="11" style="0" width="52"/>
    <col collapsed="false" customWidth="true" hidden="false" outlineLevel="0" max="12" min="12" style="0" width="26"/>
    <col collapsed="false" customWidth="true" hidden="false" outlineLevel="0" max="13" min="13" style="0" width="7"/>
    <col collapsed="false" customWidth="true" hidden="false" outlineLevel="0" max="14" min="14" style="0" width="9"/>
    <col collapsed="false" customWidth="true" hidden="false" outlineLevel="0" max="15" min="15" style="0" width="18"/>
    <col collapsed="false" customWidth="true" hidden="false" outlineLevel="0" max="16" min="16" style="0" width="24"/>
  </cols>
  <sheetData>
    <row r="1" customFormat="false" ht="30" hidden="false" customHeight="true" outlineLevel="0" collapsed="false">
      <c r="A1" s="10" t="s">
        <v>178</v>
      </c>
      <c r="B1" s="10" t="s">
        <v>65</v>
      </c>
      <c r="C1" s="10" t="s">
        <v>66</v>
      </c>
      <c r="D1" s="10" t="s">
        <v>179</v>
      </c>
      <c r="E1" s="10" t="s">
        <v>180</v>
      </c>
      <c r="F1" s="10" t="s">
        <v>181</v>
      </c>
      <c r="G1" s="10" t="s">
        <v>182</v>
      </c>
      <c r="H1" s="10" t="s">
        <v>183</v>
      </c>
      <c r="I1" s="10" t="s">
        <v>17</v>
      </c>
      <c r="J1" s="10" t="s">
        <v>184</v>
      </c>
      <c r="K1" s="10" t="s">
        <v>185</v>
      </c>
      <c r="L1" s="10" t="s">
        <v>32</v>
      </c>
      <c r="M1" s="10" t="s">
        <v>145</v>
      </c>
      <c r="N1" s="10" t="s">
        <v>186</v>
      </c>
      <c r="O1" s="10" t="s">
        <v>187</v>
      </c>
      <c r="P1" s="10" t="s">
        <v>188</v>
      </c>
    </row>
    <row r="2" customFormat="false" ht="97.5" hidden="false" customHeight="true" outlineLevel="0" collapsed="false">
      <c r="A2" s="20" t="s">
        <v>189</v>
      </c>
      <c r="B2" s="15" t="s">
        <v>190</v>
      </c>
      <c r="C2" s="15" t="s">
        <v>191</v>
      </c>
      <c r="D2" s="15" t="s">
        <v>192</v>
      </c>
      <c r="E2" s="15" t="s">
        <v>147</v>
      </c>
      <c r="F2" s="16" t="s">
        <v>150</v>
      </c>
      <c r="G2" s="15" t="s">
        <v>193</v>
      </c>
      <c r="H2" s="15" t="s">
        <v>190</v>
      </c>
      <c r="I2" s="15" t="s">
        <v>190</v>
      </c>
      <c r="J2" s="15" t="s">
        <v>194</v>
      </c>
      <c r="K2" s="15" t="s">
        <v>195</v>
      </c>
      <c r="L2" s="15" t="s">
        <v>196</v>
      </c>
      <c r="M2" s="16" t="n">
        <v>5</v>
      </c>
      <c r="N2" s="22" t="s">
        <v>197</v>
      </c>
      <c r="O2" s="15" t="s">
        <v>198</v>
      </c>
      <c r="P2" s="15" t="s">
        <v>190</v>
      </c>
    </row>
    <row r="3" customFormat="false" ht="109.5" hidden="false" customHeight="true" outlineLevel="0" collapsed="false">
      <c r="A3" s="21" t="s">
        <v>199</v>
      </c>
      <c r="B3" s="18" t="s">
        <v>190</v>
      </c>
      <c r="C3" s="18" t="s">
        <v>191</v>
      </c>
      <c r="D3" s="18" t="s">
        <v>200</v>
      </c>
      <c r="E3" s="18" t="s">
        <v>147</v>
      </c>
      <c r="F3" s="19" t="s">
        <v>150</v>
      </c>
      <c r="G3" s="18" t="s">
        <v>193</v>
      </c>
      <c r="H3" s="18" t="s">
        <v>190</v>
      </c>
      <c r="I3" s="18" t="s">
        <v>190</v>
      </c>
      <c r="J3" s="18" t="s">
        <v>201</v>
      </c>
      <c r="K3" s="18" t="s">
        <v>202</v>
      </c>
      <c r="L3" s="18" t="s">
        <v>203</v>
      </c>
      <c r="M3" s="19" t="n">
        <v>5</v>
      </c>
      <c r="N3" s="22" t="s">
        <v>197</v>
      </c>
      <c r="O3" s="18" t="s">
        <v>189</v>
      </c>
      <c r="P3" s="18" t="s">
        <v>190</v>
      </c>
    </row>
    <row r="4" customFormat="false" ht="75" hidden="false" customHeight="true" outlineLevel="0" collapsed="false">
      <c r="A4" s="20" t="s">
        <v>204</v>
      </c>
      <c r="B4" s="15" t="s">
        <v>190</v>
      </c>
      <c r="C4" s="15" t="s">
        <v>191</v>
      </c>
      <c r="D4" s="15" t="s">
        <v>205</v>
      </c>
      <c r="E4" s="15" t="s">
        <v>147</v>
      </c>
      <c r="F4" s="16" t="s">
        <v>150</v>
      </c>
      <c r="G4" s="15" t="s">
        <v>193</v>
      </c>
      <c r="H4" s="15" t="s">
        <v>190</v>
      </c>
      <c r="I4" s="15" t="s">
        <v>190</v>
      </c>
      <c r="J4" s="15" t="s">
        <v>206</v>
      </c>
      <c r="K4" s="15" t="s">
        <v>207</v>
      </c>
      <c r="L4" s="15" t="s">
        <v>208</v>
      </c>
      <c r="M4" s="16" t="n">
        <v>3</v>
      </c>
      <c r="N4" s="22" t="s">
        <v>197</v>
      </c>
      <c r="O4" s="15" t="s">
        <v>199</v>
      </c>
      <c r="P4" s="15" t="s">
        <v>190</v>
      </c>
    </row>
    <row r="5" customFormat="false" ht="86.25" hidden="false" customHeight="true" outlineLevel="0" collapsed="false">
      <c r="A5" s="21" t="s">
        <v>209</v>
      </c>
      <c r="B5" s="18" t="s">
        <v>190</v>
      </c>
      <c r="C5" s="18" t="s">
        <v>191</v>
      </c>
      <c r="D5" s="18" t="s">
        <v>210</v>
      </c>
      <c r="E5" s="18" t="s">
        <v>147</v>
      </c>
      <c r="F5" s="19" t="s">
        <v>150</v>
      </c>
      <c r="G5" s="18" t="s">
        <v>193</v>
      </c>
      <c r="H5" s="18" t="s">
        <v>190</v>
      </c>
      <c r="I5" s="18" t="s">
        <v>190</v>
      </c>
      <c r="J5" s="18" t="s">
        <v>211</v>
      </c>
      <c r="K5" s="18" t="s">
        <v>212</v>
      </c>
      <c r="L5" s="18" t="s">
        <v>196</v>
      </c>
      <c r="M5" s="19" t="n">
        <v>3</v>
      </c>
      <c r="N5" s="22" t="s">
        <v>197</v>
      </c>
      <c r="O5" s="18" t="s">
        <v>199</v>
      </c>
      <c r="P5" s="18" t="s">
        <v>190</v>
      </c>
    </row>
    <row r="6" customFormat="false" ht="75" hidden="false" customHeight="true" outlineLevel="0" collapsed="false">
      <c r="A6" s="20" t="s">
        <v>213</v>
      </c>
      <c r="B6" s="15" t="s">
        <v>190</v>
      </c>
      <c r="C6" s="15" t="s">
        <v>191</v>
      </c>
      <c r="D6" s="15" t="s">
        <v>214</v>
      </c>
      <c r="E6" s="15" t="s">
        <v>147</v>
      </c>
      <c r="F6" s="16" t="s">
        <v>150</v>
      </c>
      <c r="G6" s="15" t="s">
        <v>193</v>
      </c>
      <c r="H6" s="15" t="s">
        <v>190</v>
      </c>
      <c r="I6" s="15" t="s">
        <v>190</v>
      </c>
      <c r="J6" s="15" t="s">
        <v>215</v>
      </c>
      <c r="K6" s="15" t="s">
        <v>216</v>
      </c>
      <c r="L6" s="15" t="s">
        <v>196</v>
      </c>
      <c r="M6" s="16" t="n">
        <v>3</v>
      </c>
      <c r="N6" s="23" t="s">
        <v>217</v>
      </c>
      <c r="O6" s="15" t="s">
        <v>199</v>
      </c>
      <c r="P6" s="15" t="s">
        <v>190</v>
      </c>
    </row>
    <row r="7" customFormat="false" ht="75" hidden="false" customHeight="true" outlineLevel="0" collapsed="false">
      <c r="A7" s="21" t="s">
        <v>218</v>
      </c>
      <c r="B7" s="18" t="s">
        <v>190</v>
      </c>
      <c r="C7" s="18" t="s">
        <v>191</v>
      </c>
      <c r="D7" s="18" t="s">
        <v>219</v>
      </c>
      <c r="E7" s="18" t="s">
        <v>147</v>
      </c>
      <c r="F7" s="19" t="s">
        <v>150</v>
      </c>
      <c r="G7" s="18" t="s">
        <v>193</v>
      </c>
      <c r="H7" s="18" t="s">
        <v>190</v>
      </c>
      <c r="I7" s="18" t="s">
        <v>190</v>
      </c>
      <c r="J7" s="18" t="s">
        <v>220</v>
      </c>
      <c r="K7" s="18" t="s">
        <v>221</v>
      </c>
      <c r="L7" s="18" t="s">
        <v>196</v>
      </c>
      <c r="M7" s="19" t="n">
        <v>5</v>
      </c>
      <c r="N7" s="23" t="s">
        <v>217</v>
      </c>
      <c r="O7" s="18" t="s">
        <v>189</v>
      </c>
      <c r="P7" s="18" t="s">
        <v>190</v>
      </c>
    </row>
    <row r="8" customFormat="false" ht="63" hidden="false" customHeight="true" outlineLevel="0" collapsed="false">
      <c r="A8" s="20" t="s">
        <v>222</v>
      </c>
      <c r="B8" s="15" t="s">
        <v>190</v>
      </c>
      <c r="C8" s="15" t="s">
        <v>191</v>
      </c>
      <c r="D8" s="15" t="s">
        <v>223</v>
      </c>
      <c r="E8" s="15" t="s">
        <v>147</v>
      </c>
      <c r="F8" s="16" t="s">
        <v>150</v>
      </c>
      <c r="G8" s="15" t="s">
        <v>193</v>
      </c>
      <c r="H8" s="15" t="s">
        <v>190</v>
      </c>
      <c r="I8" s="15" t="s">
        <v>190</v>
      </c>
      <c r="J8" s="15" t="s">
        <v>224</v>
      </c>
      <c r="K8" s="15" t="s">
        <v>225</v>
      </c>
      <c r="L8" s="15" t="s">
        <v>196</v>
      </c>
      <c r="M8" s="16" t="n">
        <v>3</v>
      </c>
      <c r="N8" s="23" t="s">
        <v>217</v>
      </c>
      <c r="O8" s="15" t="s">
        <v>189</v>
      </c>
      <c r="P8" s="15" t="s">
        <v>190</v>
      </c>
    </row>
    <row r="9" customFormat="false" ht="51.75" hidden="false" customHeight="true" outlineLevel="0" collapsed="false">
      <c r="A9" s="21" t="s">
        <v>226</v>
      </c>
      <c r="B9" s="18" t="s">
        <v>190</v>
      </c>
      <c r="C9" s="18" t="s">
        <v>191</v>
      </c>
      <c r="D9" s="18" t="s">
        <v>227</v>
      </c>
      <c r="E9" s="18" t="s">
        <v>147</v>
      </c>
      <c r="F9" s="19" t="s">
        <v>150</v>
      </c>
      <c r="G9" s="18" t="s">
        <v>193</v>
      </c>
      <c r="H9" s="18" t="s">
        <v>190</v>
      </c>
      <c r="I9" s="18" t="s">
        <v>190</v>
      </c>
      <c r="J9" s="18" t="s">
        <v>228</v>
      </c>
      <c r="K9" s="18" t="s">
        <v>229</v>
      </c>
      <c r="L9" s="18" t="s">
        <v>196</v>
      </c>
      <c r="M9" s="19" t="n">
        <v>3</v>
      </c>
      <c r="N9" s="24" t="s">
        <v>230</v>
      </c>
      <c r="O9" s="18" t="s">
        <v>189</v>
      </c>
      <c r="P9" s="18" t="s">
        <v>190</v>
      </c>
    </row>
    <row r="10" customFormat="false" ht="40.5" hidden="false" customHeight="true" outlineLevel="0" collapsed="false">
      <c r="A10" s="20" t="s">
        <v>231</v>
      </c>
      <c r="B10" s="15" t="s">
        <v>70</v>
      </c>
      <c r="C10" s="15" t="s">
        <v>71</v>
      </c>
      <c r="D10" s="15" t="s">
        <v>232</v>
      </c>
      <c r="E10" s="15" t="s">
        <v>147</v>
      </c>
      <c r="F10" s="16" t="s">
        <v>150</v>
      </c>
      <c r="G10" s="15" t="s">
        <v>233</v>
      </c>
      <c r="H10" s="15" t="s">
        <v>190</v>
      </c>
      <c r="I10" s="15" t="s">
        <v>190</v>
      </c>
      <c r="J10" s="15" t="s">
        <v>234</v>
      </c>
      <c r="K10" s="15" t="s">
        <v>235</v>
      </c>
      <c r="L10" s="15" t="s">
        <v>196</v>
      </c>
      <c r="M10" s="16" t="n">
        <v>1</v>
      </c>
      <c r="N10" s="22" t="s">
        <v>197</v>
      </c>
      <c r="O10" s="15" t="s">
        <v>236</v>
      </c>
      <c r="P10" s="15" t="s">
        <v>237</v>
      </c>
    </row>
    <row r="11" customFormat="false" ht="51.75" hidden="false" customHeight="true" outlineLevel="0" collapsed="false">
      <c r="A11" s="21" t="s">
        <v>238</v>
      </c>
      <c r="B11" s="18" t="s">
        <v>190</v>
      </c>
      <c r="C11" s="18" t="s">
        <v>191</v>
      </c>
      <c r="D11" s="18" t="s">
        <v>239</v>
      </c>
      <c r="E11" s="18" t="s">
        <v>147</v>
      </c>
      <c r="F11" s="19" t="s">
        <v>150</v>
      </c>
      <c r="G11" s="18" t="s">
        <v>193</v>
      </c>
      <c r="H11" s="18" t="s">
        <v>190</v>
      </c>
      <c r="I11" s="18" t="s">
        <v>190</v>
      </c>
      <c r="J11" s="18" t="s">
        <v>240</v>
      </c>
      <c r="K11" s="18" t="s">
        <v>241</v>
      </c>
      <c r="L11" s="18" t="s">
        <v>196</v>
      </c>
      <c r="M11" s="19" t="n">
        <v>3</v>
      </c>
      <c r="N11" s="24" t="s">
        <v>230</v>
      </c>
      <c r="O11" s="18" t="s">
        <v>189</v>
      </c>
      <c r="P11" s="18" t="s">
        <v>190</v>
      </c>
    </row>
    <row r="12" customFormat="false" ht="75" hidden="false" customHeight="true" outlineLevel="0" collapsed="false">
      <c r="A12" s="20" t="s">
        <v>236</v>
      </c>
      <c r="B12" s="15" t="s">
        <v>70</v>
      </c>
      <c r="C12" s="15" t="s">
        <v>71</v>
      </c>
      <c r="D12" s="15" t="s">
        <v>242</v>
      </c>
      <c r="E12" s="15" t="s">
        <v>151</v>
      </c>
      <c r="F12" s="16" t="s">
        <v>150</v>
      </c>
      <c r="G12" s="15" t="s">
        <v>193</v>
      </c>
      <c r="H12" s="15" t="s">
        <v>190</v>
      </c>
      <c r="I12" s="15" t="s">
        <v>190</v>
      </c>
      <c r="J12" s="15" t="s">
        <v>243</v>
      </c>
      <c r="K12" s="15" t="s">
        <v>244</v>
      </c>
      <c r="L12" s="15" t="s">
        <v>196</v>
      </c>
      <c r="M12" s="16" t="n">
        <v>3</v>
      </c>
      <c r="N12" s="22" t="s">
        <v>197</v>
      </c>
      <c r="O12" s="15" t="s">
        <v>199</v>
      </c>
      <c r="P12" s="15" t="s">
        <v>190</v>
      </c>
    </row>
    <row r="13" customFormat="false" ht="109.5" hidden="false" customHeight="true" outlineLevel="0" collapsed="false">
      <c r="A13" s="21" t="s">
        <v>245</v>
      </c>
      <c r="B13" s="18" t="s">
        <v>70</v>
      </c>
      <c r="C13" s="18" t="s">
        <v>71</v>
      </c>
      <c r="D13" s="18" t="s">
        <v>246</v>
      </c>
      <c r="E13" s="18" t="s">
        <v>151</v>
      </c>
      <c r="F13" s="19" t="s">
        <v>150</v>
      </c>
      <c r="G13" s="18" t="s">
        <v>193</v>
      </c>
      <c r="H13" s="18" t="s">
        <v>190</v>
      </c>
      <c r="I13" s="18" t="s">
        <v>190</v>
      </c>
      <c r="J13" s="18" t="s">
        <v>247</v>
      </c>
      <c r="K13" s="18" t="s">
        <v>248</v>
      </c>
      <c r="L13" s="18" t="s">
        <v>196</v>
      </c>
      <c r="M13" s="19" t="n">
        <v>5</v>
      </c>
      <c r="N13" s="22" t="s">
        <v>197</v>
      </c>
      <c r="O13" s="18" t="s">
        <v>236</v>
      </c>
      <c r="P13" s="18" t="s">
        <v>190</v>
      </c>
    </row>
    <row r="14" customFormat="false" ht="97.5" hidden="false" customHeight="true" outlineLevel="0" collapsed="false">
      <c r="A14" s="20" t="s">
        <v>249</v>
      </c>
      <c r="B14" s="15" t="s">
        <v>70</v>
      </c>
      <c r="C14" s="15" t="s">
        <v>71</v>
      </c>
      <c r="D14" s="15" t="s">
        <v>250</v>
      </c>
      <c r="E14" s="15" t="s">
        <v>151</v>
      </c>
      <c r="F14" s="16" t="s">
        <v>150</v>
      </c>
      <c r="G14" s="15" t="s">
        <v>193</v>
      </c>
      <c r="H14" s="15" t="s">
        <v>251</v>
      </c>
      <c r="I14" s="15" t="s">
        <v>190</v>
      </c>
      <c r="J14" s="15" t="s">
        <v>252</v>
      </c>
      <c r="K14" s="15" t="s">
        <v>253</v>
      </c>
      <c r="L14" s="15" t="s">
        <v>196</v>
      </c>
      <c r="M14" s="16" t="n">
        <v>5</v>
      </c>
      <c r="N14" s="22" t="s">
        <v>197</v>
      </c>
      <c r="O14" s="15" t="s">
        <v>245</v>
      </c>
      <c r="P14" s="15" t="s">
        <v>190</v>
      </c>
    </row>
    <row r="15" customFormat="false" ht="75" hidden="false" customHeight="true" outlineLevel="0" collapsed="false">
      <c r="A15" s="21" t="s">
        <v>254</v>
      </c>
      <c r="B15" s="18" t="s">
        <v>70</v>
      </c>
      <c r="C15" s="18" t="s">
        <v>71</v>
      </c>
      <c r="D15" s="18" t="s">
        <v>255</v>
      </c>
      <c r="E15" s="18" t="s">
        <v>151</v>
      </c>
      <c r="F15" s="19" t="s">
        <v>150</v>
      </c>
      <c r="G15" s="18" t="s">
        <v>193</v>
      </c>
      <c r="H15" s="18" t="s">
        <v>256</v>
      </c>
      <c r="I15" s="18" t="s">
        <v>190</v>
      </c>
      <c r="J15" s="18" t="s">
        <v>257</v>
      </c>
      <c r="K15" s="18" t="s">
        <v>258</v>
      </c>
      <c r="L15" s="18" t="s">
        <v>196</v>
      </c>
      <c r="M15" s="19" t="n">
        <v>5</v>
      </c>
      <c r="N15" s="22" t="s">
        <v>197</v>
      </c>
      <c r="O15" s="18" t="s">
        <v>236</v>
      </c>
      <c r="P15" s="18" t="s">
        <v>190</v>
      </c>
    </row>
    <row r="16" customFormat="false" ht="97.5" hidden="false" customHeight="true" outlineLevel="0" collapsed="false">
      <c r="A16" s="20" t="s">
        <v>259</v>
      </c>
      <c r="B16" s="15" t="s">
        <v>70</v>
      </c>
      <c r="C16" s="15" t="s">
        <v>71</v>
      </c>
      <c r="D16" s="15" t="s">
        <v>260</v>
      </c>
      <c r="E16" s="15" t="s">
        <v>151</v>
      </c>
      <c r="F16" s="16" t="s">
        <v>150</v>
      </c>
      <c r="G16" s="15" t="s">
        <v>193</v>
      </c>
      <c r="H16" s="15" t="s">
        <v>261</v>
      </c>
      <c r="I16" s="15" t="s">
        <v>190</v>
      </c>
      <c r="J16" s="15" t="s">
        <v>262</v>
      </c>
      <c r="K16" s="15" t="s">
        <v>263</v>
      </c>
      <c r="L16" s="15" t="s">
        <v>196</v>
      </c>
      <c r="M16" s="16" t="n">
        <v>5</v>
      </c>
      <c r="N16" s="22" t="s">
        <v>197</v>
      </c>
      <c r="O16" s="15" t="s">
        <v>254</v>
      </c>
      <c r="P16" s="15" t="s">
        <v>190</v>
      </c>
    </row>
    <row r="17" customFormat="false" ht="97.5" hidden="false" customHeight="true" outlineLevel="0" collapsed="false">
      <c r="A17" s="21" t="s">
        <v>264</v>
      </c>
      <c r="B17" s="18" t="s">
        <v>70</v>
      </c>
      <c r="C17" s="18" t="s">
        <v>71</v>
      </c>
      <c r="D17" s="18" t="s">
        <v>265</v>
      </c>
      <c r="E17" s="18" t="s">
        <v>151</v>
      </c>
      <c r="F17" s="19" t="s">
        <v>150</v>
      </c>
      <c r="G17" s="18" t="s">
        <v>193</v>
      </c>
      <c r="H17" s="18" t="s">
        <v>190</v>
      </c>
      <c r="I17" s="18" t="s">
        <v>190</v>
      </c>
      <c r="J17" s="18" t="s">
        <v>266</v>
      </c>
      <c r="K17" s="18" t="s">
        <v>267</v>
      </c>
      <c r="L17" s="18" t="s">
        <v>196</v>
      </c>
      <c r="M17" s="19" t="n">
        <v>3</v>
      </c>
      <c r="N17" s="22" t="s">
        <v>197</v>
      </c>
      <c r="O17" s="18" t="s">
        <v>209</v>
      </c>
      <c r="P17" s="18" t="s">
        <v>190</v>
      </c>
    </row>
    <row r="18" customFormat="false" ht="97.5" hidden="false" customHeight="true" outlineLevel="0" collapsed="false">
      <c r="A18" s="20" t="s">
        <v>268</v>
      </c>
      <c r="B18" s="15" t="s">
        <v>70</v>
      </c>
      <c r="C18" s="15" t="s">
        <v>71</v>
      </c>
      <c r="D18" s="15" t="s">
        <v>269</v>
      </c>
      <c r="E18" s="15" t="s">
        <v>151</v>
      </c>
      <c r="F18" s="16" t="s">
        <v>150</v>
      </c>
      <c r="G18" s="15" t="s">
        <v>193</v>
      </c>
      <c r="H18" s="15" t="s">
        <v>190</v>
      </c>
      <c r="I18" s="15" t="s">
        <v>190</v>
      </c>
      <c r="J18" s="15" t="s">
        <v>270</v>
      </c>
      <c r="K18" s="15" t="s">
        <v>271</v>
      </c>
      <c r="L18" s="15" t="s">
        <v>196</v>
      </c>
      <c r="M18" s="16" t="n">
        <v>5</v>
      </c>
      <c r="N18" s="23" t="s">
        <v>217</v>
      </c>
      <c r="O18" s="15" t="s">
        <v>254</v>
      </c>
      <c r="P18" s="15" t="s">
        <v>190</v>
      </c>
    </row>
    <row r="19" customFormat="false" ht="75" hidden="false" customHeight="true" outlineLevel="0" collapsed="false">
      <c r="A19" s="21" t="s">
        <v>272</v>
      </c>
      <c r="B19" s="18" t="s">
        <v>70</v>
      </c>
      <c r="C19" s="18" t="s">
        <v>71</v>
      </c>
      <c r="D19" s="18" t="s">
        <v>273</v>
      </c>
      <c r="E19" s="18" t="s">
        <v>151</v>
      </c>
      <c r="F19" s="19" t="s">
        <v>150</v>
      </c>
      <c r="G19" s="18" t="s">
        <v>193</v>
      </c>
      <c r="H19" s="18" t="s">
        <v>190</v>
      </c>
      <c r="I19" s="18" t="s">
        <v>190</v>
      </c>
      <c r="J19" s="18" t="s">
        <v>274</v>
      </c>
      <c r="K19" s="18" t="s">
        <v>275</v>
      </c>
      <c r="L19" s="18" t="s">
        <v>196</v>
      </c>
      <c r="M19" s="19" t="n">
        <v>3</v>
      </c>
      <c r="N19" s="22" t="s">
        <v>197</v>
      </c>
      <c r="O19" s="18" t="s">
        <v>245</v>
      </c>
      <c r="P19" s="18" t="s">
        <v>190</v>
      </c>
    </row>
    <row r="20" customFormat="false" ht="75" hidden="false" customHeight="true" outlineLevel="0" collapsed="false">
      <c r="A20" s="20" t="s">
        <v>276</v>
      </c>
      <c r="B20" s="15" t="s">
        <v>70</v>
      </c>
      <c r="C20" s="15" t="s">
        <v>71</v>
      </c>
      <c r="D20" s="15" t="s">
        <v>277</v>
      </c>
      <c r="E20" s="15" t="s">
        <v>151</v>
      </c>
      <c r="F20" s="16" t="s">
        <v>150</v>
      </c>
      <c r="G20" s="15" t="s">
        <v>193</v>
      </c>
      <c r="H20" s="15" t="s">
        <v>190</v>
      </c>
      <c r="I20" s="15" t="s">
        <v>190</v>
      </c>
      <c r="J20" s="15" t="s">
        <v>278</v>
      </c>
      <c r="K20" s="15" t="s">
        <v>279</v>
      </c>
      <c r="L20" s="15" t="s">
        <v>196</v>
      </c>
      <c r="M20" s="16" t="n">
        <v>3</v>
      </c>
      <c r="N20" s="23" t="s">
        <v>217</v>
      </c>
      <c r="O20" s="15" t="s">
        <v>236</v>
      </c>
      <c r="P20" s="15" t="s">
        <v>190</v>
      </c>
    </row>
    <row r="21" customFormat="false" ht="63" hidden="false" customHeight="true" outlineLevel="0" collapsed="false">
      <c r="A21" s="21" t="s">
        <v>280</v>
      </c>
      <c r="B21" s="18" t="s">
        <v>70</v>
      </c>
      <c r="C21" s="18" t="s">
        <v>71</v>
      </c>
      <c r="D21" s="18" t="s">
        <v>281</v>
      </c>
      <c r="E21" s="18" t="s">
        <v>151</v>
      </c>
      <c r="F21" s="19" t="s">
        <v>150</v>
      </c>
      <c r="G21" s="18" t="s">
        <v>193</v>
      </c>
      <c r="H21" s="18" t="s">
        <v>190</v>
      </c>
      <c r="I21" s="18" t="s">
        <v>190</v>
      </c>
      <c r="J21" s="18" t="s">
        <v>282</v>
      </c>
      <c r="K21" s="18" t="s">
        <v>283</v>
      </c>
      <c r="L21" s="18" t="s">
        <v>196</v>
      </c>
      <c r="M21" s="19" t="n">
        <v>3</v>
      </c>
      <c r="N21" s="23" t="s">
        <v>217</v>
      </c>
      <c r="O21" s="18" t="s">
        <v>222</v>
      </c>
      <c r="P21" s="18" t="s">
        <v>190</v>
      </c>
    </row>
    <row r="22" customFormat="false" ht="97.5" hidden="false" customHeight="true" outlineLevel="0" collapsed="false">
      <c r="A22" s="20" t="s">
        <v>284</v>
      </c>
      <c r="B22" s="15" t="s">
        <v>75</v>
      </c>
      <c r="C22" s="15" t="s">
        <v>71</v>
      </c>
      <c r="D22" s="15" t="s">
        <v>285</v>
      </c>
      <c r="E22" s="15" t="s">
        <v>154</v>
      </c>
      <c r="F22" s="16" t="s">
        <v>286</v>
      </c>
      <c r="G22" s="15" t="s">
        <v>193</v>
      </c>
      <c r="H22" s="15" t="s">
        <v>287</v>
      </c>
      <c r="I22" s="15" t="s">
        <v>190</v>
      </c>
      <c r="J22" s="15" t="s">
        <v>288</v>
      </c>
      <c r="K22" s="15" t="s">
        <v>289</v>
      </c>
      <c r="L22" s="15" t="s">
        <v>196</v>
      </c>
      <c r="M22" s="16" t="n">
        <v>5</v>
      </c>
      <c r="N22" s="22" t="s">
        <v>197</v>
      </c>
      <c r="O22" s="15" t="s">
        <v>245</v>
      </c>
      <c r="P22" s="15" t="s">
        <v>190</v>
      </c>
    </row>
    <row r="23" customFormat="false" ht="75" hidden="false" customHeight="true" outlineLevel="0" collapsed="false">
      <c r="A23" s="21" t="s">
        <v>290</v>
      </c>
      <c r="B23" s="18" t="s">
        <v>75</v>
      </c>
      <c r="C23" s="18" t="s">
        <v>71</v>
      </c>
      <c r="D23" s="18" t="s">
        <v>291</v>
      </c>
      <c r="E23" s="18" t="s">
        <v>154</v>
      </c>
      <c r="F23" s="19" t="s">
        <v>286</v>
      </c>
      <c r="G23" s="18" t="s">
        <v>193</v>
      </c>
      <c r="H23" s="18" t="s">
        <v>292</v>
      </c>
      <c r="I23" s="18" t="s">
        <v>190</v>
      </c>
      <c r="J23" s="18" t="s">
        <v>293</v>
      </c>
      <c r="K23" s="18" t="s">
        <v>294</v>
      </c>
      <c r="L23" s="18" t="s">
        <v>196</v>
      </c>
      <c r="M23" s="19" t="n">
        <v>5</v>
      </c>
      <c r="N23" s="22" t="s">
        <v>197</v>
      </c>
      <c r="O23" s="18" t="s">
        <v>295</v>
      </c>
      <c r="P23" s="18" t="s">
        <v>190</v>
      </c>
    </row>
    <row r="24" customFormat="false" ht="75" hidden="false" customHeight="true" outlineLevel="0" collapsed="false">
      <c r="A24" s="20" t="s">
        <v>296</v>
      </c>
      <c r="B24" s="15" t="s">
        <v>75</v>
      </c>
      <c r="C24" s="15" t="s">
        <v>71</v>
      </c>
      <c r="D24" s="15" t="s">
        <v>297</v>
      </c>
      <c r="E24" s="15" t="s">
        <v>154</v>
      </c>
      <c r="F24" s="16" t="s">
        <v>286</v>
      </c>
      <c r="G24" s="15" t="s">
        <v>298</v>
      </c>
      <c r="H24" s="15" t="s">
        <v>190</v>
      </c>
      <c r="I24" s="15" t="s">
        <v>190</v>
      </c>
      <c r="J24" s="15" t="s">
        <v>299</v>
      </c>
      <c r="K24" s="15" t="s">
        <v>300</v>
      </c>
      <c r="L24" s="15" t="s">
        <v>196</v>
      </c>
      <c r="M24" s="16" t="n">
        <v>3</v>
      </c>
      <c r="N24" s="22" t="s">
        <v>197</v>
      </c>
      <c r="O24" s="15" t="s">
        <v>301</v>
      </c>
      <c r="P24" s="15" t="s">
        <v>302</v>
      </c>
    </row>
    <row r="25" customFormat="false" ht="75" hidden="false" customHeight="true" outlineLevel="0" collapsed="false">
      <c r="A25" s="21" t="s">
        <v>303</v>
      </c>
      <c r="B25" s="18" t="s">
        <v>75</v>
      </c>
      <c r="C25" s="18" t="s">
        <v>71</v>
      </c>
      <c r="D25" s="18" t="s">
        <v>304</v>
      </c>
      <c r="E25" s="18" t="s">
        <v>154</v>
      </c>
      <c r="F25" s="19" t="s">
        <v>286</v>
      </c>
      <c r="G25" s="18" t="s">
        <v>305</v>
      </c>
      <c r="H25" s="18" t="s">
        <v>306</v>
      </c>
      <c r="I25" s="18" t="s">
        <v>190</v>
      </c>
      <c r="J25" s="18" t="s">
        <v>307</v>
      </c>
      <c r="K25" s="18" t="s">
        <v>308</v>
      </c>
      <c r="L25" s="18" t="s">
        <v>196</v>
      </c>
      <c r="M25" s="19" t="n">
        <v>5</v>
      </c>
      <c r="N25" s="22" t="s">
        <v>197</v>
      </c>
      <c r="O25" s="18" t="s">
        <v>296</v>
      </c>
      <c r="P25" s="18" t="s">
        <v>309</v>
      </c>
    </row>
    <row r="26" customFormat="false" ht="63" hidden="false" customHeight="true" outlineLevel="0" collapsed="false">
      <c r="A26" s="20" t="s">
        <v>310</v>
      </c>
      <c r="B26" s="15" t="s">
        <v>75</v>
      </c>
      <c r="C26" s="15" t="s">
        <v>71</v>
      </c>
      <c r="D26" s="15" t="s">
        <v>311</v>
      </c>
      <c r="E26" s="15" t="s">
        <v>154</v>
      </c>
      <c r="F26" s="16" t="s">
        <v>286</v>
      </c>
      <c r="G26" s="15" t="s">
        <v>312</v>
      </c>
      <c r="H26" s="15" t="s">
        <v>190</v>
      </c>
      <c r="I26" s="15" t="s">
        <v>190</v>
      </c>
      <c r="J26" s="15" t="s">
        <v>313</v>
      </c>
      <c r="K26" s="15" t="s">
        <v>314</v>
      </c>
      <c r="L26" s="15" t="s">
        <v>196</v>
      </c>
      <c r="M26" s="16" t="n">
        <v>2</v>
      </c>
      <c r="N26" s="23" t="s">
        <v>217</v>
      </c>
      <c r="O26" s="15" t="s">
        <v>296</v>
      </c>
      <c r="P26" s="15" t="s">
        <v>315</v>
      </c>
    </row>
    <row r="27" customFormat="false" ht="86.25" hidden="false" customHeight="true" outlineLevel="0" collapsed="false">
      <c r="A27" s="21" t="s">
        <v>316</v>
      </c>
      <c r="B27" s="18" t="s">
        <v>75</v>
      </c>
      <c r="C27" s="18" t="s">
        <v>71</v>
      </c>
      <c r="D27" s="18" t="s">
        <v>317</v>
      </c>
      <c r="E27" s="18" t="s">
        <v>154</v>
      </c>
      <c r="F27" s="19" t="s">
        <v>286</v>
      </c>
      <c r="G27" s="18" t="s">
        <v>318</v>
      </c>
      <c r="H27" s="18" t="s">
        <v>319</v>
      </c>
      <c r="I27" s="18" t="s">
        <v>190</v>
      </c>
      <c r="J27" s="18" t="s">
        <v>320</v>
      </c>
      <c r="K27" s="18" t="s">
        <v>321</v>
      </c>
      <c r="L27" s="18" t="s">
        <v>196</v>
      </c>
      <c r="M27" s="19" t="n">
        <v>5</v>
      </c>
      <c r="N27" s="22" t="s">
        <v>197</v>
      </c>
      <c r="O27" s="18" t="s">
        <v>322</v>
      </c>
      <c r="P27" s="18" t="s">
        <v>323</v>
      </c>
    </row>
    <row r="28" customFormat="false" ht="86.25" hidden="false" customHeight="true" outlineLevel="0" collapsed="false">
      <c r="A28" s="20" t="s">
        <v>324</v>
      </c>
      <c r="B28" s="15" t="s">
        <v>75</v>
      </c>
      <c r="C28" s="15" t="s">
        <v>71</v>
      </c>
      <c r="D28" s="15" t="s">
        <v>325</v>
      </c>
      <c r="E28" s="15" t="s">
        <v>154</v>
      </c>
      <c r="F28" s="16" t="s">
        <v>169</v>
      </c>
      <c r="G28" s="15" t="s">
        <v>326</v>
      </c>
      <c r="H28" s="15" t="s">
        <v>327</v>
      </c>
      <c r="I28" s="15" t="s">
        <v>190</v>
      </c>
      <c r="J28" s="15" t="s">
        <v>328</v>
      </c>
      <c r="K28" s="15" t="s">
        <v>329</v>
      </c>
      <c r="L28" s="15" t="s">
        <v>196</v>
      </c>
      <c r="M28" s="16" t="n">
        <v>5</v>
      </c>
      <c r="N28" s="23" t="s">
        <v>217</v>
      </c>
      <c r="O28" s="15" t="s">
        <v>330</v>
      </c>
      <c r="P28" s="15" t="s">
        <v>331</v>
      </c>
    </row>
    <row r="29" customFormat="false" ht="75" hidden="false" customHeight="true" outlineLevel="0" collapsed="false">
      <c r="A29" s="21" t="s">
        <v>332</v>
      </c>
      <c r="B29" s="18" t="s">
        <v>75</v>
      </c>
      <c r="C29" s="18" t="s">
        <v>71</v>
      </c>
      <c r="D29" s="18" t="s">
        <v>333</v>
      </c>
      <c r="E29" s="18" t="s">
        <v>154</v>
      </c>
      <c r="F29" s="19" t="s">
        <v>286</v>
      </c>
      <c r="G29" s="18" t="s">
        <v>334</v>
      </c>
      <c r="H29" s="18" t="s">
        <v>190</v>
      </c>
      <c r="I29" s="18" t="s">
        <v>190</v>
      </c>
      <c r="J29" s="18" t="s">
        <v>335</v>
      </c>
      <c r="K29" s="18" t="s">
        <v>336</v>
      </c>
      <c r="L29" s="18" t="s">
        <v>196</v>
      </c>
      <c r="M29" s="19" t="n">
        <v>3</v>
      </c>
      <c r="N29" s="22" t="s">
        <v>197</v>
      </c>
      <c r="O29" s="18" t="s">
        <v>303</v>
      </c>
      <c r="P29" s="18" t="s">
        <v>337</v>
      </c>
    </row>
    <row r="30" customFormat="false" ht="63" hidden="false" customHeight="true" outlineLevel="0" collapsed="false">
      <c r="A30" s="20" t="s">
        <v>338</v>
      </c>
      <c r="B30" s="15" t="s">
        <v>75</v>
      </c>
      <c r="C30" s="15" t="s">
        <v>71</v>
      </c>
      <c r="D30" s="15" t="s">
        <v>339</v>
      </c>
      <c r="E30" s="15" t="s">
        <v>154</v>
      </c>
      <c r="F30" s="16" t="s">
        <v>286</v>
      </c>
      <c r="G30" s="15" t="s">
        <v>340</v>
      </c>
      <c r="H30" s="15" t="s">
        <v>190</v>
      </c>
      <c r="I30" s="15" t="s">
        <v>190</v>
      </c>
      <c r="J30" s="15" t="s">
        <v>341</v>
      </c>
      <c r="K30" s="15" t="s">
        <v>342</v>
      </c>
      <c r="L30" s="15" t="s">
        <v>196</v>
      </c>
      <c r="M30" s="16" t="n">
        <v>2</v>
      </c>
      <c r="N30" s="23" t="s">
        <v>217</v>
      </c>
      <c r="O30" s="15" t="s">
        <v>303</v>
      </c>
      <c r="P30" s="15" t="s">
        <v>343</v>
      </c>
    </row>
    <row r="31" customFormat="false" ht="97.5" hidden="false" customHeight="true" outlineLevel="0" collapsed="false">
      <c r="A31" s="21" t="s">
        <v>344</v>
      </c>
      <c r="B31" s="18" t="s">
        <v>75</v>
      </c>
      <c r="C31" s="18" t="s">
        <v>71</v>
      </c>
      <c r="D31" s="18" t="s">
        <v>345</v>
      </c>
      <c r="E31" s="18" t="s">
        <v>154</v>
      </c>
      <c r="F31" s="19" t="s">
        <v>286</v>
      </c>
      <c r="G31" s="18" t="s">
        <v>346</v>
      </c>
      <c r="H31" s="18" t="s">
        <v>347</v>
      </c>
      <c r="I31" s="18" t="s">
        <v>190</v>
      </c>
      <c r="J31" s="18" t="s">
        <v>348</v>
      </c>
      <c r="K31" s="18" t="s">
        <v>349</v>
      </c>
      <c r="L31" s="18" t="s">
        <v>196</v>
      </c>
      <c r="M31" s="19" t="n">
        <v>5</v>
      </c>
      <c r="N31" s="22" t="s">
        <v>197</v>
      </c>
      <c r="O31" s="18" t="s">
        <v>350</v>
      </c>
      <c r="P31" s="18" t="s">
        <v>351</v>
      </c>
    </row>
    <row r="32" customFormat="false" ht="97.5" hidden="false" customHeight="true" outlineLevel="0" collapsed="false">
      <c r="A32" s="20" t="s">
        <v>352</v>
      </c>
      <c r="B32" s="15" t="s">
        <v>75</v>
      </c>
      <c r="C32" s="15" t="s">
        <v>71</v>
      </c>
      <c r="D32" s="15" t="s">
        <v>353</v>
      </c>
      <c r="E32" s="15" t="s">
        <v>154</v>
      </c>
      <c r="F32" s="16" t="s">
        <v>286</v>
      </c>
      <c r="G32" s="15" t="s">
        <v>354</v>
      </c>
      <c r="H32" s="15" t="s">
        <v>355</v>
      </c>
      <c r="I32" s="15" t="s">
        <v>190</v>
      </c>
      <c r="J32" s="15" t="s">
        <v>356</v>
      </c>
      <c r="K32" s="15" t="s">
        <v>357</v>
      </c>
      <c r="L32" s="15" t="s">
        <v>196</v>
      </c>
      <c r="M32" s="16" t="n">
        <v>5</v>
      </c>
      <c r="N32" s="22" t="s">
        <v>197</v>
      </c>
      <c r="O32" s="15" t="s">
        <v>284</v>
      </c>
      <c r="P32" s="15" t="s">
        <v>358</v>
      </c>
    </row>
    <row r="33" customFormat="false" ht="75" hidden="false" customHeight="true" outlineLevel="0" collapsed="false">
      <c r="A33" s="21" t="s">
        <v>359</v>
      </c>
      <c r="B33" s="18" t="s">
        <v>75</v>
      </c>
      <c r="C33" s="18" t="s">
        <v>71</v>
      </c>
      <c r="D33" s="18" t="s">
        <v>360</v>
      </c>
      <c r="E33" s="18" t="s">
        <v>154</v>
      </c>
      <c r="F33" s="19" t="s">
        <v>286</v>
      </c>
      <c r="G33" s="18" t="s">
        <v>361</v>
      </c>
      <c r="H33" s="18" t="s">
        <v>362</v>
      </c>
      <c r="I33" s="18" t="s">
        <v>190</v>
      </c>
      <c r="J33" s="18" t="s">
        <v>363</v>
      </c>
      <c r="K33" s="18" t="s">
        <v>364</v>
      </c>
      <c r="L33" s="18" t="s">
        <v>196</v>
      </c>
      <c r="M33" s="19" t="n">
        <v>5</v>
      </c>
      <c r="N33" s="22" t="s">
        <v>197</v>
      </c>
      <c r="O33" s="18" t="s">
        <v>284</v>
      </c>
      <c r="P33" s="18" t="s">
        <v>365</v>
      </c>
    </row>
    <row r="34" customFormat="false" ht="75" hidden="false" customHeight="true" outlineLevel="0" collapsed="false">
      <c r="A34" s="20" t="s">
        <v>366</v>
      </c>
      <c r="B34" s="15" t="s">
        <v>75</v>
      </c>
      <c r="C34" s="15" t="s">
        <v>71</v>
      </c>
      <c r="D34" s="15" t="s">
        <v>367</v>
      </c>
      <c r="E34" s="15" t="s">
        <v>154</v>
      </c>
      <c r="F34" s="16" t="s">
        <v>286</v>
      </c>
      <c r="G34" s="15" t="s">
        <v>368</v>
      </c>
      <c r="H34" s="15" t="s">
        <v>190</v>
      </c>
      <c r="I34" s="15" t="s">
        <v>190</v>
      </c>
      <c r="J34" s="15" t="s">
        <v>369</v>
      </c>
      <c r="K34" s="15" t="s">
        <v>370</v>
      </c>
      <c r="L34" s="15" t="s">
        <v>196</v>
      </c>
      <c r="M34" s="16" t="n">
        <v>3</v>
      </c>
      <c r="N34" s="23" t="s">
        <v>217</v>
      </c>
      <c r="O34" s="15" t="s">
        <v>359</v>
      </c>
      <c r="P34" s="15" t="s">
        <v>371</v>
      </c>
    </row>
    <row r="35" customFormat="false" ht="51.75" hidden="false" customHeight="true" outlineLevel="0" collapsed="false">
      <c r="A35" s="21" t="s">
        <v>372</v>
      </c>
      <c r="B35" s="18" t="s">
        <v>75</v>
      </c>
      <c r="C35" s="18" t="s">
        <v>71</v>
      </c>
      <c r="D35" s="18" t="s">
        <v>373</v>
      </c>
      <c r="E35" s="18" t="s">
        <v>154</v>
      </c>
      <c r="F35" s="19" t="s">
        <v>286</v>
      </c>
      <c r="G35" s="18" t="s">
        <v>374</v>
      </c>
      <c r="H35" s="18" t="s">
        <v>375</v>
      </c>
      <c r="I35" s="18" t="s">
        <v>190</v>
      </c>
      <c r="J35" s="18" t="s">
        <v>376</v>
      </c>
      <c r="K35" s="18" t="s">
        <v>377</v>
      </c>
      <c r="L35" s="18" t="s">
        <v>196</v>
      </c>
      <c r="M35" s="19" t="n">
        <v>3</v>
      </c>
      <c r="N35" s="24" t="s">
        <v>230</v>
      </c>
      <c r="O35" s="18" t="s">
        <v>359</v>
      </c>
      <c r="P35" s="18" t="s">
        <v>378</v>
      </c>
    </row>
    <row r="36" customFormat="false" ht="75" hidden="false" customHeight="true" outlineLevel="0" collapsed="false">
      <c r="A36" s="20" t="s">
        <v>379</v>
      </c>
      <c r="B36" s="15" t="s">
        <v>75</v>
      </c>
      <c r="C36" s="15" t="s">
        <v>71</v>
      </c>
      <c r="D36" s="15" t="s">
        <v>380</v>
      </c>
      <c r="E36" s="15" t="s">
        <v>154</v>
      </c>
      <c r="F36" s="16" t="s">
        <v>286</v>
      </c>
      <c r="G36" s="15" t="s">
        <v>381</v>
      </c>
      <c r="H36" s="15" t="s">
        <v>190</v>
      </c>
      <c r="I36" s="15" t="s">
        <v>190</v>
      </c>
      <c r="J36" s="15" t="s">
        <v>382</v>
      </c>
      <c r="K36" s="15" t="s">
        <v>383</v>
      </c>
      <c r="L36" s="15" t="s">
        <v>196</v>
      </c>
      <c r="M36" s="16" t="n">
        <v>5</v>
      </c>
      <c r="N36" s="23" t="s">
        <v>217</v>
      </c>
      <c r="O36" s="15" t="s">
        <v>359</v>
      </c>
      <c r="P36" s="15" t="s">
        <v>384</v>
      </c>
    </row>
    <row r="37" customFormat="false" ht="40.5" hidden="false" customHeight="true" outlineLevel="0" collapsed="false">
      <c r="A37" s="21" t="s">
        <v>385</v>
      </c>
      <c r="B37" s="18" t="s">
        <v>75</v>
      </c>
      <c r="C37" s="18" t="s">
        <v>71</v>
      </c>
      <c r="D37" s="18" t="s">
        <v>386</v>
      </c>
      <c r="E37" s="18" t="s">
        <v>154</v>
      </c>
      <c r="F37" s="19" t="s">
        <v>286</v>
      </c>
      <c r="G37" s="18" t="s">
        <v>387</v>
      </c>
      <c r="H37" s="18" t="s">
        <v>190</v>
      </c>
      <c r="I37" s="18" t="s">
        <v>190</v>
      </c>
      <c r="J37" s="18" t="s">
        <v>388</v>
      </c>
      <c r="K37" s="18" t="s">
        <v>389</v>
      </c>
      <c r="L37" s="18" t="s">
        <v>196</v>
      </c>
      <c r="M37" s="19" t="n">
        <v>3</v>
      </c>
      <c r="N37" s="24" t="s">
        <v>230</v>
      </c>
      <c r="O37" s="18" t="s">
        <v>359</v>
      </c>
      <c r="P37" s="18" t="s">
        <v>390</v>
      </c>
    </row>
    <row r="38" customFormat="false" ht="75" hidden="false" customHeight="true" outlineLevel="0" collapsed="false">
      <c r="A38" s="20" t="s">
        <v>391</v>
      </c>
      <c r="B38" s="15" t="s">
        <v>75</v>
      </c>
      <c r="C38" s="15" t="s">
        <v>71</v>
      </c>
      <c r="D38" s="15" t="s">
        <v>392</v>
      </c>
      <c r="E38" s="15" t="s">
        <v>154</v>
      </c>
      <c r="F38" s="16" t="s">
        <v>286</v>
      </c>
      <c r="G38" s="15" t="s">
        <v>393</v>
      </c>
      <c r="H38" s="15" t="s">
        <v>190</v>
      </c>
      <c r="I38" s="15" t="s">
        <v>190</v>
      </c>
      <c r="J38" s="15" t="s">
        <v>394</v>
      </c>
      <c r="K38" s="15" t="s">
        <v>395</v>
      </c>
      <c r="L38" s="15" t="s">
        <v>196</v>
      </c>
      <c r="M38" s="16" t="n">
        <v>3</v>
      </c>
      <c r="N38" s="22" t="s">
        <v>197</v>
      </c>
      <c r="O38" s="15" t="s">
        <v>359</v>
      </c>
      <c r="P38" s="15" t="s">
        <v>396</v>
      </c>
    </row>
    <row r="39" customFormat="false" ht="51.75" hidden="false" customHeight="true" outlineLevel="0" collapsed="false">
      <c r="A39" s="21" t="s">
        <v>397</v>
      </c>
      <c r="B39" s="18" t="s">
        <v>75</v>
      </c>
      <c r="C39" s="18" t="s">
        <v>71</v>
      </c>
      <c r="D39" s="18" t="s">
        <v>398</v>
      </c>
      <c r="E39" s="18" t="s">
        <v>154</v>
      </c>
      <c r="F39" s="19" t="s">
        <v>286</v>
      </c>
      <c r="G39" s="18" t="s">
        <v>193</v>
      </c>
      <c r="H39" s="18" t="s">
        <v>190</v>
      </c>
      <c r="I39" s="18" t="s">
        <v>190</v>
      </c>
      <c r="J39" s="18" t="s">
        <v>399</v>
      </c>
      <c r="K39" s="18" t="s">
        <v>400</v>
      </c>
      <c r="L39" s="18" t="s">
        <v>196</v>
      </c>
      <c r="M39" s="19" t="n">
        <v>3</v>
      </c>
      <c r="N39" s="24" t="s">
        <v>230</v>
      </c>
      <c r="O39" s="18" t="s">
        <v>284</v>
      </c>
      <c r="P39" s="18" t="s">
        <v>190</v>
      </c>
    </row>
    <row r="40" customFormat="false" ht="75" hidden="false" customHeight="true" outlineLevel="0" collapsed="false">
      <c r="A40" s="20" t="s">
        <v>401</v>
      </c>
      <c r="B40" s="15" t="s">
        <v>78</v>
      </c>
      <c r="C40" s="15" t="s">
        <v>71</v>
      </c>
      <c r="D40" s="15" t="s">
        <v>402</v>
      </c>
      <c r="E40" s="15" t="s">
        <v>158</v>
      </c>
      <c r="F40" s="16" t="s">
        <v>161</v>
      </c>
      <c r="G40" s="15" t="s">
        <v>193</v>
      </c>
      <c r="H40" s="15" t="s">
        <v>403</v>
      </c>
      <c r="I40" s="15" t="s">
        <v>190</v>
      </c>
      <c r="J40" s="15" t="s">
        <v>404</v>
      </c>
      <c r="K40" s="15" t="s">
        <v>405</v>
      </c>
      <c r="L40" s="15" t="s">
        <v>196</v>
      </c>
      <c r="M40" s="16" t="n">
        <v>5</v>
      </c>
      <c r="N40" s="22" t="s">
        <v>197</v>
      </c>
      <c r="O40" s="15" t="s">
        <v>236</v>
      </c>
      <c r="P40" s="15" t="s">
        <v>190</v>
      </c>
    </row>
    <row r="41" customFormat="false" ht="51.75" hidden="false" customHeight="true" outlineLevel="0" collapsed="false">
      <c r="A41" s="21" t="s">
        <v>406</v>
      </c>
      <c r="B41" s="18" t="s">
        <v>78</v>
      </c>
      <c r="C41" s="18" t="s">
        <v>71</v>
      </c>
      <c r="D41" s="18" t="s">
        <v>407</v>
      </c>
      <c r="E41" s="18" t="s">
        <v>158</v>
      </c>
      <c r="F41" s="19" t="s">
        <v>161</v>
      </c>
      <c r="G41" s="18" t="s">
        <v>193</v>
      </c>
      <c r="H41" s="18" t="s">
        <v>190</v>
      </c>
      <c r="I41" s="18" t="s">
        <v>190</v>
      </c>
      <c r="J41" s="18" t="s">
        <v>408</v>
      </c>
      <c r="K41" s="18" t="s">
        <v>409</v>
      </c>
      <c r="L41" s="18" t="s">
        <v>196</v>
      </c>
      <c r="M41" s="19" t="n">
        <v>3</v>
      </c>
      <c r="N41" s="23" t="s">
        <v>217</v>
      </c>
      <c r="O41" s="18" t="s">
        <v>410</v>
      </c>
      <c r="P41" s="18" t="s">
        <v>190</v>
      </c>
    </row>
    <row r="42" customFormat="false" ht="63" hidden="false" customHeight="true" outlineLevel="0" collapsed="false">
      <c r="A42" s="20" t="s">
        <v>411</v>
      </c>
      <c r="B42" s="15" t="s">
        <v>78</v>
      </c>
      <c r="C42" s="15" t="s">
        <v>71</v>
      </c>
      <c r="D42" s="15" t="s">
        <v>412</v>
      </c>
      <c r="E42" s="15" t="s">
        <v>158</v>
      </c>
      <c r="F42" s="16" t="s">
        <v>161</v>
      </c>
      <c r="G42" s="15" t="s">
        <v>193</v>
      </c>
      <c r="H42" s="15" t="s">
        <v>413</v>
      </c>
      <c r="I42" s="15" t="s">
        <v>190</v>
      </c>
      <c r="J42" s="15" t="s">
        <v>414</v>
      </c>
      <c r="K42" s="15" t="s">
        <v>415</v>
      </c>
      <c r="L42" s="15" t="s">
        <v>196</v>
      </c>
      <c r="M42" s="16" t="n">
        <v>5</v>
      </c>
      <c r="N42" s="22" t="s">
        <v>197</v>
      </c>
      <c r="O42" s="15" t="s">
        <v>416</v>
      </c>
      <c r="P42" s="15" t="s">
        <v>190</v>
      </c>
    </row>
    <row r="43" customFormat="false" ht="75" hidden="false" customHeight="true" outlineLevel="0" collapsed="false">
      <c r="A43" s="21" t="s">
        <v>417</v>
      </c>
      <c r="B43" s="18" t="s">
        <v>78</v>
      </c>
      <c r="C43" s="18" t="s">
        <v>71</v>
      </c>
      <c r="D43" s="18" t="s">
        <v>418</v>
      </c>
      <c r="E43" s="18" t="s">
        <v>158</v>
      </c>
      <c r="F43" s="19" t="s">
        <v>161</v>
      </c>
      <c r="G43" s="18" t="s">
        <v>193</v>
      </c>
      <c r="H43" s="18" t="s">
        <v>190</v>
      </c>
      <c r="I43" s="18" t="s">
        <v>190</v>
      </c>
      <c r="J43" s="18" t="s">
        <v>419</v>
      </c>
      <c r="K43" s="18" t="s">
        <v>420</v>
      </c>
      <c r="L43" s="18" t="s">
        <v>196</v>
      </c>
      <c r="M43" s="19" t="n">
        <v>5</v>
      </c>
      <c r="N43" s="23" t="s">
        <v>217</v>
      </c>
      <c r="O43" s="18" t="s">
        <v>421</v>
      </c>
      <c r="P43" s="18" t="s">
        <v>190</v>
      </c>
    </row>
    <row r="44" customFormat="false" ht="40.5" hidden="false" customHeight="true" outlineLevel="0" collapsed="false">
      <c r="A44" s="20" t="s">
        <v>422</v>
      </c>
      <c r="B44" s="15" t="s">
        <v>78</v>
      </c>
      <c r="C44" s="15" t="s">
        <v>71</v>
      </c>
      <c r="D44" s="15" t="s">
        <v>423</v>
      </c>
      <c r="E44" s="15" t="s">
        <v>158</v>
      </c>
      <c r="F44" s="16" t="s">
        <v>161</v>
      </c>
      <c r="G44" s="15" t="s">
        <v>193</v>
      </c>
      <c r="H44" s="15" t="s">
        <v>190</v>
      </c>
      <c r="I44" s="15" t="s">
        <v>190</v>
      </c>
      <c r="J44" s="15" t="s">
        <v>424</v>
      </c>
      <c r="K44" s="15" t="s">
        <v>425</v>
      </c>
      <c r="L44" s="15" t="s">
        <v>196</v>
      </c>
      <c r="M44" s="16" t="n">
        <v>3</v>
      </c>
      <c r="N44" s="22" t="s">
        <v>197</v>
      </c>
      <c r="O44" s="15" t="s">
        <v>426</v>
      </c>
      <c r="P44" s="15" t="s">
        <v>190</v>
      </c>
    </row>
    <row r="45" customFormat="false" ht="51.75" hidden="false" customHeight="true" outlineLevel="0" collapsed="false">
      <c r="A45" s="21" t="s">
        <v>427</v>
      </c>
      <c r="B45" s="18" t="s">
        <v>78</v>
      </c>
      <c r="C45" s="18" t="s">
        <v>71</v>
      </c>
      <c r="D45" s="18" t="s">
        <v>428</v>
      </c>
      <c r="E45" s="18" t="s">
        <v>158</v>
      </c>
      <c r="F45" s="19" t="s">
        <v>161</v>
      </c>
      <c r="G45" s="18" t="s">
        <v>193</v>
      </c>
      <c r="H45" s="18" t="s">
        <v>190</v>
      </c>
      <c r="I45" s="18" t="s">
        <v>190</v>
      </c>
      <c r="J45" s="18" t="s">
        <v>429</v>
      </c>
      <c r="K45" s="18" t="s">
        <v>430</v>
      </c>
      <c r="L45" s="18" t="s">
        <v>196</v>
      </c>
      <c r="M45" s="19" t="n">
        <v>3</v>
      </c>
      <c r="N45" s="24" t="s">
        <v>230</v>
      </c>
      <c r="O45" s="18" t="s">
        <v>411</v>
      </c>
      <c r="P45" s="18" t="s">
        <v>190</v>
      </c>
    </row>
    <row r="46" customFormat="false" ht="51.75" hidden="false" customHeight="true" outlineLevel="0" collapsed="false">
      <c r="A46" s="20" t="s">
        <v>431</v>
      </c>
      <c r="B46" s="15" t="s">
        <v>78</v>
      </c>
      <c r="C46" s="15" t="s">
        <v>71</v>
      </c>
      <c r="D46" s="15" t="s">
        <v>432</v>
      </c>
      <c r="E46" s="15" t="s">
        <v>158</v>
      </c>
      <c r="F46" s="16" t="s">
        <v>161</v>
      </c>
      <c r="G46" s="15" t="s">
        <v>193</v>
      </c>
      <c r="H46" s="15" t="s">
        <v>190</v>
      </c>
      <c r="I46" s="15" t="s">
        <v>190</v>
      </c>
      <c r="J46" s="15" t="s">
        <v>433</v>
      </c>
      <c r="K46" s="15" t="s">
        <v>434</v>
      </c>
      <c r="L46" s="15" t="s">
        <v>196</v>
      </c>
      <c r="M46" s="16" t="n">
        <v>5</v>
      </c>
      <c r="N46" s="23" t="s">
        <v>217</v>
      </c>
      <c r="O46" s="15" t="s">
        <v>411</v>
      </c>
      <c r="P46" s="15" t="s">
        <v>190</v>
      </c>
    </row>
    <row r="47" customFormat="false" ht="40.5" hidden="false" customHeight="true" outlineLevel="0" collapsed="false">
      <c r="A47" s="21" t="s">
        <v>435</v>
      </c>
      <c r="B47" s="18" t="s">
        <v>78</v>
      </c>
      <c r="C47" s="18" t="s">
        <v>71</v>
      </c>
      <c r="D47" s="18" t="s">
        <v>436</v>
      </c>
      <c r="E47" s="18" t="s">
        <v>158</v>
      </c>
      <c r="F47" s="19" t="s">
        <v>161</v>
      </c>
      <c r="G47" s="18" t="s">
        <v>193</v>
      </c>
      <c r="H47" s="18" t="s">
        <v>190</v>
      </c>
      <c r="I47" s="18" t="s">
        <v>190</v>
      </c>
      <c r="J47" s="18" t="s">
        <v>437</v>
      </c>
      <c r="K47" s="18" t="s">
        <v>438</v>
      </c>
      <c r="L47" s="18" t="s">
        <v>196</v>
      </c>
      <c r="M47" s="19" t="n">
        <v>2</v>
      </c>
      <c r="N47" s="24" t="s">
        <v>230</v>
      </c>
      <c r="O47" s="18" t="s">
        <v>431</v>
      </c>
      <c r="P47" s="18" t="s">
        <v>190</v>
      </c>
    </row>
    <row r="48" customFormat="false" ht="63" hidden="false" customHeight="true" outlineLevel="0" collapsed="false">
      <c r="A48" s="20" t="s">
        <v>439</v>
      </c>
      <c r="B48" s="15" t="s">
        <v>78</v>
      </c>
      <c r="C48" s="15" t="s">
        <v>71</v>
      </c>
      <c r="D48" s="15" t="s">
        <v>440</v>
      </c>
      <c r="E48" s="15" t="s">
        <v>158</v>
      </c>
      <c r="F48" s="16" t="s">
        <v>161</v>
      </c>
      <c r="G48" s="15" t="s">
        <v>193</v>
      </c>
      <c r="H48" s="15" t="s">
        <v>190</v>
      </c>
      <c r="I48" s="15" t="s">
        <v>190</v>
      </c>
      <c r="J48" s="15" t="s">
        <v>441</v>
      </c>
      <c r="K48" s="15" t="s">
        <v>442</v>
      </c>
      <c r="L48" s="15" t="s">
        <v>196</v>
      </c>
      <c r="M48" s="16" t="n">
        <v>5</v>
      </c>
      <c r="N48" s="24" t="s">
        <v>230</v>
      </c>
      <c r="O48" s="15" t="s">
        <v>411</v>
      </c>
      <c r="P48" s="15" t="s">
        <v>190</v>
      </c>
    </row>
    <row r="49" customFormat="false" ht="75" hidden="false" customHeight="true" outlineLevel="0" collapsed="false">
      <c r="A49" s="21" t="s">
        <v>443</v>
      </c>
      <c r="B49" s="18" t="s">
        <v>78</v>
      </c>
      <c r="C49" s="18" t="s">
        <v>71</v>
      </c>
      <c r="D49" s="18" t="s">
        <v>444</v>
      </c>
      <c r="E49" s="18" t="s">
        <v>158</v>
      </c>
      <c r="F49" s="19" t="s">
        <v>161</v>
      </c>
      <c r="G49" s="18" t="s">
        <v>193</v>
      </c>
      <c r="H49" s="18" t="s">
        <v>445</v>
      </c>
      <c r="I49" s="18" t="s">
        <v>190</v>
      </c>
      <c r="J49" s="18" t="s">
        <v>446</v>
      </c>
      <c r="K49" s="18" t="s">
        <v>447</v>
      </c>
      <c r="L49" s="18" t="s">
        <v>196</v>
      </c>
      <c r="M49" s="19" t="n">
        <v>5</v>
      </c>
      <c r="N49" s="24" t="s">
        <v>230</v>
      </c>
      <c r="O49" s="18" t="s">
        <v>259</v>
      </c>
      <c r="P49" s="18" t="s">
        <v>190</v>
      </c>
    </row>
    <row r="50" customFormat="false" ht="51.75" hidden="false" customHeight="true" outlineLevel="0" collapsed="false">
      <c r="A50" s="20" t="s">
        <v>448</v>
      </c>
      <c r="B50" s="15" t="s">
        <v>78</v>
      </c>
      <c r="C50" s="15" t="s">
        <v>71</v>
      </c>
      <c r="D50" s="15" t="s">
        <v>449</v>
      </c>
      <c r="E50" s="15" t="s">
        <v>158</v>
      </c>
      <c r="F50" s="16" t="s">
        <v>161</v>
      </c>
      <c r="G50" s="15" t="s">
        <v>193</v>
      </c>
      <c r="H50" s="15" t="s">
        <v>450</v>
      </c>
      <c r="I50" s="15" t="s">
        <v>190</v>
      </c>
      <c r="J50" s="15" t="s">
        <v>451</v>
      </c>
      <c r="K50" s="15" t="s">
        <v>452</v>
      </c>
      <c r="L50" s="15" t="s">
        <v>196</v>
      </c>
      <c r="M50" s="16" t="n">
        <v>3</v>
      </c>
      <c r="N50" s="23" t="s">
        <v>217</v>
      </c>
      <c r="O50" s="15" t="s">
        <v>401</v>
      </c>
      <c r="P50" s="15" t="s">
        <v>190</v>
      </c>
    </row>
    <row r="51" customFormat="false" ht="63" hidden="false" customHeight="true" outlineLevel="0" collapsed="false">
      <c r="A51" s="21" t="s">
        <v>453</v>
      </c>
      <c r="B51" s="18" t="s">
        <v>78</v>
      </c>
      <c r="C51" s="18" t="s">
        <v>71</v>
      </c>
      <c r="D51" s="18" t="s">
        <v>454</v>
      </c>
      <c r="E51" s="18" t="s">
        <v>158</v>
      </c>
      <c r="F51" s="19" t="s">
        <v>161</v>
      </c>
      <c r="G51" s="18" t="s">
        <v>193</v>
      </c>
      <c r="H51" s="18" t="s">
        <v>261</v>
      </c>
      <c r="I51" s="18" t="s">
        <v>190</v>
      </c>
      <c r="J51" s="18" t="s">
        <v>455</v>
      </c>
      <c r="K51" s="18" t="s">
        <v>456</v>
      </c>
      <c r="L51" s="18" t="s">
        <v>196</v>
      </c>
      <c r="M51" s="19" t="n">
        <v>5</v>
      </c>
      <c r="N51" s="22" t="s">
        <v>197</v>
      </c>
      <c r="O51" s="18" t="s">
        <v>259</v>
      </c>
      <c r="P51" s="18" t="s">
        <v>190</v>
      </c>
    </row>
    <row r="52" customFormat="false" ht="63" hidden="false" customHeight="true" outlineLevel="0" collapsed="false">
      <c r="A52" s="20" t="s">
        <v>457</v>
      </c>
      <c r="B52" s="15" t="s">
        <v>78</v>
      </c>
      <c r="C52" s="15" t="s">
        <v>71</v>
      </c>
      <c r="D52" s="15" t="s">
        <v>458</v>
      </c>
      <c r="E52" s="15" t="s">
        <v>158</v>
      </c>
      <c r="F52" s="16" t="s">
        <v>161</v>
      </c>
      <c r="G52" s="15" t="s">
        <v>193</v>
      </c>
      <c r="H52" s="15" t="s">
        <v>256</v>
      </c>
      <c r="I52" s="15" t="s">
        <v>190</v>
      </c>
      <c r="J52" s="15" t="s">
        <v>459</v>
      </c>
      <c r="K52" s="15" t="s">
        <v>460</v>
      </c>
      <c r="L52" s="15" t="s">
        <v>196</v>
      </c>
      <c r="M52" s="16" t="n">
        <v>5</v>
      </c>
      <c r="N52" s="23" t="s">
        <v>217</v>
      </c>
      <c r="O52" s="15" t="s">
        <v>461</v>
      </c>
      <c r="P52" s="15" t="s">
        <v>190</v>
      </c>
    </row>
    <row r="53" customFormat="false" ht="40.5" hidden="false" customHeight="true" outlineLevel="0" collapsed="false">
      <c r="A53" s="21" t="s">
        <v>462</v>
      </c>
      <c r="B53" s="18" t="s">
        <v>78</v>
      </c>
      <c r="C53" s="18" t="s">
        <v>71</v>
      </c>
      <c r="D53" s="18" t="s">
        <v>463</v>
      </c>
      <c r="E53" s="18" t="s">
        <v>158</v>
      </c>
      <c r="F53" s="19" t="s">
        <v>161</v>
      </c>
      <c r="G53" s="18" t="s">
        <v>193</v>
      </c>
      <c r="H53" s="18" t="s">
        <v>190</v>
      </c>
      <c r="I53" s="18" t="s">
        <v>190</v>
      </c>
      <c r="J53" s="18" t="s">
        <v>464</v>
      </c>
      <c r="K53" s="18" t="s">
        <v>465</v>
      </c>
      <c r="L53" s="18" t="s">
        <v>196</v>
      </c>
      <c r="M53" s="19" t="n">
        <v>3</v>
      </c>
      <c r="N53" s="24" t="s">
        <v>230</v>
      </c>
      <c r="O53" s="18" t="s">
        <v>466</v>
      </c>
      <c r="P53" s="18" t="s">
        <v>190</v>
      </c>
    </row>
    <row r="54" customFormat="false" ht="75" hidden="false" customHeight="true" outlineLevel="0" collapsed="false">
      <c r="A54" s="20" t="s">
        <v>467</v>
      </c>
      <c r="B54" s="15" t="s">
        <v>78</v>
      </c>
      <c r="C54" s="15" t="s">
        <v>71</v>
      </c>
      <c r="D54" s="15" t="s">
        <v>468</v>
      </c>
      <c r="E54" s="15" t="s">
        <v>158</v>
      </c>
      <c r="F54" s="16" t="s">
        <v>161</v>
      </c>
      <c r="G54" s="15" t="s">
        <v>193</v>
      </c>
      <c r="H54" s="15" t="s">
        <v>469</v>
      </c>
      <c r="I54" s="15" t="s">
        <v>190</v>
      </c>
      <c r="J54" s="15" t="s">
        <v>470</v>
      </c>
      <c r="K54" s="15" t="s">
        <v>471</v>
      </c>
      <c r="L54" s="15" t="s">
        <v>196</v>
      </c>
      <c r="M54" s="16" t="n">
        <v>5</v>
      </c>
      <c r="N54" s="24" t="s">
        <v>230</v>
      </c>
      <c r="O54" s="15" t="s">
        <v>431</v>
      </c>
      <c r="P54" s="15" t="s">
        <v>190</v>
      </c>
    </row>
    <row r="55" customFormat="false" ht="75" hidden="false" customHeight="true" outlineLevel="0" collapsed="false">
      <c r="A55" s="21" t="s">
        <v>472</v>
      </c>
      <c r="B55" s="18" t="s">
        <v>78</v>
      </c>
      <c r="C55" s="18" t="s">
        <v>71</v>
      </c>
      <c r="D55" s="18" t="s">
        <v>473</v>
      </c>
      <c r="E55" s="18" t="s">
        <v>158</v>
      </c>
      <c r="F55" s="19" t="s">
        <v>161</v>
      </c>
      <c r="G55" s="18" t="s">
        <v>193</v>
      </c>
      <c r="H55" s="18" t="s">
        <v>190</v>
      </c>
      <c r="I55" s="18" t="s">
        <v>190</v>
      </c>
      <c r="J55" s="18" t="s">
        <v>474</v>
      </c>
      <c r="K55" s="18" t="s">
        <v>475</v>
      </c>
      <c r="L55" s="18" t="s">
        <v>196</v>
      </c>
      <c r="M55" s="19" t="n">
        <v>5</v>
      </c>
      <c r="N55" s="22" t="s">
        <v>197</v>
      </c>
      <c r="O55" s="18" t="s">
        <v>476</v>
      </c>
      <c r="P55" s="18" t="s">
        <v>190</v>
      </c>
    </row>
    <row r="56" customFormat="false" ht="109.5" hidden="false" customHeight="true" outlineLevel="0" collapsed="false">
      <c r="A56" s="20" t="s">
        <v>477</v>
      </c>
      <c r="B56" s="15" t="s">
        <v>81</v>
      </c>
      <c r="C56" s="15" t="s">
        <v>71</v>
      </c>
      <c r="D56" s="15" t="s">
        <v>478</v>
      </c>
      <c r="E56" s="15" t="s">
        <v>162</v>
      </c>
      <c r="F56" s="16" t="s">
        <v>165</v>
      </c>
      <c r="G56" s="15" t="s">
        <v>193</v>
      </c>
      <c r="H56" s="15" t="s">
        <v>190</v>
      </c>
      <c r="I56" s="15" t="s">
        <v>479</v>
      </c>
      <c r="J56" s="15" t="s">
        <v>480</v>
      </c>
      <c r="K56" s="15" t="s">
        <v>481</v>
      </c>
      <c r="L56" s="15" t="s">
        <v>196</v>
      </c>
      <c r="M56" s="16" t="n">
        <v>5</v>
      </c>
      <c r="N56" s="22" t="s">
        <v>197</v>
      </c>
      <c r="O56" s="15" t="s">
        <v>254</v>
      </c>
      <c r="P56" s="15" t="s">
        <v>190</v>
      </c>
    </row>
    <row r="57" customFormat="false" ht="40.5" hidden="false" customHeight="true" outlineLevel="0" collapsed="false">
      <c r="A57" s="21" t="s">
        <v>482</v>
      </c>
      <c r="B57" s="18" t="s">
        <v>81</v>
      </c>
      <c r="C57" s="18" t="s">
        <v>71</v>
      </c>
      <c r="D57" s="18" t="s">
        <v>483</v>
      </c>
      <c r="E57" s="18" t="s">
        <v>162</v>
      </c>
      <c r="F57" s="19" t="s">
        <v>165</v>
      </c>
      <c r="G57" s="18" t="s">
        <v>484</v>
      </c>
      <c r="H57" s="18" t="s">
        <v>485</v>
      </c>
      <c r="I57" s="18" t="s">
        <v>190</v>
      </c>
      <c r="J57" s="18" t="s">
        <v>486</v>
      </c>
      <c r="K57" s="18" t="s">
        <v>487</v>
      </c>
      <c r="L57" s="18" t="s">
        <v>196</v>
      </c>
      <c r="M57" s="19" t="n">
        <v>3</v>
      </c>
      <c r="N57" s="22" t="s">
        <v>197</v>
      </c>
      <c r="O57" s="18" t="s">
        <v>477</v>
      </c>
      <c r="P57" s="18" t="s">
        <v>488</v>
      </c>
    </row>
    <row r="58" customFormat="false" ht="97.5" hidden="false" customHeight="true" outlineLevel="0" collapsed="false">
      <c r="A58" s="20" t="s">
        <v>489</v>
      </c>
      <c r="B58" s="15" t="s">
        <v>81</v>
      </c>
      <c r="C58" s="15" t="s">
        <v>71</v>
      </c>
      <c r="D58" s="15" t="s">
        <v>490</v>
      </c>
      <c r="E58" s="15" t="s">
        <v>162</v>
      </c>
      <c r="F58" s="16" t="s">
        <v>165</v>
      </c>
      <c r="G58" s="15" t="s">
        <v>491</v>
      </c>
      <c r="H58" s="15" t="s">
        <v>492</v>
      </c>
      <c r="I58" s="15" t="s">
        <v>190</v>
      </c>
      <c r="J58" s="15" t="s">
        <v>493</v>
      </c>
      <c r="K58" s="15" t="s">
        <v>494</v>
      </c>
      <c r="L58" s="15" t="s">
        <v>196</v>
      </c>
      <c r="M58" s="16" t="n">
        <v>5</v>
      </c>
      <c r="N58" s="22" t="s">
        <v>197</v>
      </c>
      <c r="O58" s="15" t="s">
        <v>482</v>
      </c>
      <c r="P58" s="15" t="s">
        <v>495</v>
      </c>
    </row>
    <row r="59" customFormat="false" ht="51.75" hidden="false" customHeight="true" outlineLevel="0" collapsed="false">
      <c r="A59" s="21" t="s">
        <v>496</v>
      </c>
      <c r="B59" s="18" t="s">
        <v>81</v>
      </c>
      <c r="C59" s="18" t="s">
        <v>71</v>
      </c>
      <c r="D59" s="18" t="s">
        <v>497</v>
      </c>
      <c r="E59" s="18" t="s">
        <v>162</v>
      </c>
      <c r="F59" s="19" t="s">
        <v>165</v>
      </c>
      <c r="G59" s="18" t="s">
        <v>498</v>
      </c>
      <c r="H59" s="18" t="s">
        <v>499</v>
      </c>
      <c r="I59" s="18" t="s">
        <v>190</v>
      </c>
      <c r="J59" s="18" t="s">
        <v>500</v>
      </c>
      <c r="K59" s="18" t="s">
        <v>501</v>
      </c>
      <c r="L59" s="18" t="s">
        <v>196</v>
      </c>
      <c r="M59" s="19" t="n">
        <v>2</v>
      </c>
      <c r="N59" s="23" t="s">
        <v>217</v>
      </c>
      <c r="O59" s="18" t="s">
        <v>477</v>
      </c>
      <c r="P59" s="18" t="s">
        <v>502</v>
      </c>
    </row>
    <row r="60" customFormat="false" ht="51.75" hidden="false" customHeight="true" outlineLevel="0" collapsed="false">
      <c r="A60" s="20" t="s">
        <v>503</v>
      </c>
      <c r="B60" s="15" t="s">
        <v>81</v>
      </c>
      <c r="C60" s="15" t="s">
        <v>71</v>
      </c>
      <c r="D60" s="15" t="s">
        <v>504</v>
      </c>
      <c r="E60" s="15" t="s">
        <v>162</v>
      </c>
      <c r="F60" s="16" t="s">
        <v>165</v>
      </c>
      <c r="G60" s="15" t="s">
        <v>505</v>
      </c>
      <c r="H60" s="15" t="s">
        <v>506</v>
      </c>
      <c r="I60" s="15" t="s">
        <v>190</v>
      </c>
      <c r="J60" s="15" t="s">
        <v>507</v>
      </c>
      <c r="K60" s="15" t="s">
        <v>508</v>
      </c>
      <c r="L60" s="15" t="s">
        <v>196</v>
      </c>
      <c r="M60" s="16" t="n">
        <v>3</v>
      </c>
      <c r="N60" s="23" t="s">
        <v>217</v>
      </c>
      <c r="O60" s="15" t="s">
        <v>477</v>
      </c>
      <c r="P60" s="15" t="s">
        <v>509</v>
      </c>
    </row>
    <row r="61" customFormat="false" ht="51.75" hidden="false" customHeight="true" outlineLevel="0" collapsed="false">
      <c r="A61" s="21" t="s">
        <v>510</v>
      </c>
      <c r="B61" s="18" t="s">
        <v>81</v>
      </c>
      <c r="C61" s="18" t="s">
        <v>71</v>
      </c>
      <c r="D61" s="18" t="s">
        <v>511</v>
      </c>
      <c r="E61" s="18" t="s">
        <v>162</v>
      </c>
      <c r="F61" s="19" t="s">
        <v>165</v>
      </c>
      <c r="G61" s="18" t="s">
        <v>512</v>
      </c>
      <c r="H61" s="18" t="s">
        <v>513</v>
      </c>
      <c r="I61" s="18" t="s">
        <v>190</v>
      </c>
      <c r="J61" s="18" t="s">
        <v>514</v>
      </c>
      <c r="K61" s="18" t="s">
        <v>515</v>
      </c>
      <c r="L61" s="18" t="s">
        <v>196</v>
      </c>
      <c r="M61" s="19" t="n">
        <v>3</v>
      </c>
      <c r="N61" s="24" t="s">
        <v>230</v>
      </c>
      <c r="O61" s="18" t="s">
        <v>477</v>
      </c>
      <c r="P61" s="18" t="s">
        <v>516</v>
      </c>
    </row>
    <row r="62" customFormat="false" ht="28.5" hidden="false" customHeight="true" outlineLevel="0" collapsed="false">
      <c r="A62" s="20" t="s">
        <v>517</v>
      </c>
      <c r="B62" s="15" t="s">
        <v>81</v>
      </c>
      <c r="C62" s="15" t="s">
        <v>71</v>
      </c>
      <c r="D62" s="15" t="s">
        <v>518</v>
      </c>
      <c r="E62" s="15" t="s">
        <v>162</v>
      </c>
      <c r="F62" s="16" t="s">
        <v>165</v>
      </c>
      <c r="G62" s="15" t="s">
        <v>519</v>
      </c>
      <c r="H62" s="15" t="s">
        <v>520</v>
      </c>
      <c r="I62" s="15" t="s">
        <v>190</v>
      </c>
      <c r="J62" s="15" t="s">
        <v>521</v>
      </c>
      <c r="K62" s="15" t="s">
        <v>522</v>
      </c>
      <c r="L62" s="15" t="s">
        <v>196</v>
      </c>
      <c r="M62" s="16" t="n">
        <v>2</v>
      </c>
      <c r="N62" s="13" t="s">
        <v>523</v>
      </c>
      <c r="O62" s="15" t="s">
        <v>477</v>
      </c>
      <c r="P62" s="15" t="s">
        <v>524</v>
      </c>
    </row>
    <row r="63" customFormat="false" ht="51.75" hidden="false" customHeight="true" outlineLevel="0" collapsed="false">
      <c r="A63" s="21" t="s">
        <v>525</v>
      </c>
      <c r="B63" s="18" t="s">
        <v>81</v>
      </c>
      <c r="C63" s="18" t="s">
        <v>71</v>
      </c>
      <c r="D63" s="18" t="s">
        <v>526</v>
      </c>
      <c r="E63" s="18" t="s">
        <v>162</v>
      </c>
      <c r="F63" s="19" t="s">
        <v>165</v>
      </c>
      <c r="G63" s="18" t="s">
        <v>527</v>
      </c>
      <c r="H63" s="18" t="s">
        <v>528</v>
      </c>
      <c r="I63" s="18" t="s">
        <v>190</v>
      </c>
      <c r="J63" s="18" t="s">
        <v>529</v>
      </c>
      <c r="K63" s="18" t="s">
        <v>530</v>
      </c>
      <c r="L63" s="18" t="s">
        <v>196</v>
      </c>
      <c r="M63" s="19" t="n">
        <v>3</v>
      </c>
      <c r="N63" s="23" t="s">
        <v>217</v>
      </c>
      <c r="O63" s="18" t="s">
        <v>531</v>
      </c>
      <c r="P63" s="18" t="s">
        <v>532</v>
      </c>
    </row>
    <row r="64" customFormat="false" ht="63" hidden="false" customHeight="true" outlineLevel="0" collapsed="false">
      <c r="A64" s="20" t="s">
        <v>533</v>
      </c>
      <c r="B64" s="15" t="s">
        <v>81</v>
      </c>
      <c r="C64" s="15" t="s">
        <v>71</v>
      </c>
      <c r="D64" s="15" t="s">
        <v>534</v>
      </c>
      <c r="E64" s="15" t="s">
        <v>162</v>
      </c>
      <c r="F64" s="16" t="s">
        <v>165</v>
      </c>
      <c r="G64" s="15" t="s">
        <v>193</v>
      </c>
      <c r="H64" s="15" t="s">
        <v>535</v>
      </c>
      <c r="I64" s="15" t="s">
        <v>190</v>
      </c>
      <c r="J64" s="15" t="s">
        <v>536</v>
      </c>
      <c r="K64" s="15" t="s">
        <v>537</v>
      </c>
      <c r="L64" s="15" t="s">
        <v>196</v>
      </c>
      <c r="M64" s="16" t="n">
        <v>5</v>
      </c>
      <c r="N64" s="23" t="s">
        <v>217</v>
      </c>
      <c r="O64" s="15" t="s">
        <v>525</v>
      </c>
      <c r="P64" s="15" t="s">
        <v>190</v>
      </c>
    </row>
    <row r="65" customFormat="false" ht="75" hidden="false" customHeight="true" outlineLevel="0" collapsed="false">
      <c r="A65" s="21" t="s">
        <v>538</v>
      </c>
      <c r="B65" s="18" t="s">
        <v>81</v>
      </c>
      <c r="C65" s="18" t="s">
        <v>71</v>
      </c>
      <c r="D65" s="18" t="s">
        <v>539</v>
      </c>
      <c r="E65" s="18" t="s">
        <v>162</v>
      </c>
      <c r="F65" s="19" t="s">
        <v>165</v>
      </c>
      <c r="G65" s="18" t="s">
        <v>540</v>
      </c>
      <c r="H65" s="18" t="s">
        <v>190</v>
      </c>
      <c r="I65" s="18" t="s">
        <v>190</v>
      </c>
      <c r="J65" s="18" t="s">
        <v>541</v>
      </c>
      <c r="K65" s="18" t="s">
        <v>542</v>
      </c>
      <c r="L65" s="18" t="s">
        <v>196</v>
      </c>
      <c r="M65" s="19" t="n">
        <v>5</v>
      </c>
      <c r="N65" s="22" t="s">
        <v>197</v>
      </c>
      <c r="O65" s="18" t="s">
        <v>543</v>
      </c>
      <c r="P65" s="18" t="s">
        <v>544</v>
      </c>
    </row>
    <row r="66" customFormat="false" ht="63" hidden="false" customHeight="true" outlineLevel="0" collapsed="false">
      <c r="A66" s="20" t="s">
        <v>545</v>
      </c>
      <c r="B66" s="15" t="s">
        <v>81</v>
      </c>
      <c r="C66" s="15" t="s">
        <v>71</v>
      </c>
      <c r="D66" s="15" t="s">
        <v>546</v>
      </c>
      <c r="E66" s="15" t="s">
        <v>162</v>
      </c>
      <c r="F66" s="16" t="s">
        <v>165</v>
      </c>
      <c r="G66" s="15" t="s">
        <v>193</v>
      </c>
      <c r="H66" s="15" t="s">
        <v>547</v>
      </c>
      <c r="I66" s="15" t="s">
        <v>190</v>
      </c>
      <c r="J66" s="15" t="s">
        <v>548</v>
      </c>
      <c r="K66" s="15" t="s">
        <v>549</v>
      </c>
      <c r="L66" s="15" t="s">
        <v>196</v>
      </c>
      <c r="M66" s="16" t="n">
        <v>5</v>
      </c>
      <c r="N66" s="24" t="s">
        <v>230</v>
      </c>
      <c r="O66" s="15" t="s">
        <v>550</v>
      </c>
      <c r="P66" s="15" t="s">
        <v>190</v>
      </c>
    </row>
    <row r="67" customFormat="false" ht="51.75" hidden="false" customHeight="true" outlineLevel="0" collapsed="false">
      <c r="A67" s="21" t="s">
        <v>551</v>
      </c>
      <c r="B67" s="18" t="s">
        <v>81</v>
      </c>
      <c r="C67" s="18" t="s">
        <v>71</v>
      </c>
      <c r="D67" s="18" t="s">
        <v>552</v>
      </c>
      <c r="E67" s="18" t="s">
        <v>162</v>
      </c>
      <c r="F67" s="19" t="s">
        <v>165</v>
      </c>
      <c r="G67" s="18" t="s">
        <v>193</v>
      </c>
      <c r="H67" s="18" t="s">
        <v>190</v>
      </c>
      <c r="I67" s="18" t="s">
        <v>190</v>
      </c>
      <c r="J67" s="18" t="s">
        <v>553</v>
      </c>
      <c r="K67" s="18" t="s">
        <v>554</v>
      </c>
      <c r="L67" s="18" t="s">
        <v>196</v>
      </c>
      <c r="M67" s="19" t="n">
        <v>2</v>
      </c>
      <c r="N67" s="23" t="s">
        <v>217</v>
      </c>
      <c r="O67" s="18" t="s">
        <v>555</v>
      </c>
      <c r="P67" s="18" t="s">
        <v>190</v>
      </c>
    </row>
    <row r="68" customFormat="false" ht="97.5" hidden="false" customHeight="true" outlineLevel="0" collapsed="false">
      <c r="A68" s="20" t="s">
        <v>556</v>
      </c>
      <c r="B68" s="15" t="s">
        <v>84</v>
      </c>
      <c r="C68" s="15" t="s">
        <v>71</v>
      </c>
      <c r="D68" s="15" t="s">
        <v>557</v>
      </c>
      <c r="E68" s="15" t="s">
        <v>166</v>
      </c>
      <c r="F68" s="16" t="s">
        <v>169</v>
      </c>
      <c r="G68" s="15" t="s">
        <v>193</v>
      </c>
      <c r="H68" s="15" t="s">
        <v>558</v>
      </c>
      <c r="I68" s="15" t="s">
        <v>559</v>
      </c>
      <c r="J68" s="15" t="s">
        <v>560</v>
      </c>
      <c r="K68" s="15" t="s">
        <v>561</v>
      </c>
      <c r="L68" s="15" t="s">
        <v>196</v>
      </c>
      <c r="M68" s="16" t="n">
        <v>5</v>
      </c>
      <c r="N68" s="22" t="s">
        <v>197</v>
      </c>
      <c r="O68" s="15" t="s">
        <v>268</v>
      </c>
      <c r="P68" s="15" t="s">
        <v>190</v>
      </c>
    </row>
    <row r="69" customFormat="false" ht="109.5" hidden="false" customHeight="true" outlineLevel="0" collapsed="false">
      <c r="A69" s="21" t="s">
        <v>562</v>
      </c>
      <c r="B69" s="18" t="s">
        <v>84</v>
      </c>
      <c r="C69" s="18" t="s">
        <v>71</v>
      </c>
      <c r="D69" s="18" t="s">
        <v>563</v>
      </c>
      <c r="E69" s="18" t="s">
        <v>166</v>
      </c>
      <c r="F69" s="19" t="s">
        <v>169</v>
      </c>
      <c r="G69" s="18" t="s">
        <v>193</v>
      </c>
      <c r="H69" s="18" t="s">
        <v>190</v>
      </c>
      <c r="I69" s="18" t="s">
        <v>190</v>
      </c>
      <c r="J69" s="18" t="s">
        <v>564</v>
      </c>
      <c r="K69" s="18" t="s">
        <v>565</v>
      </c>
      <c r="L69" s="18" t="s">
        <v>196</v>
      </c>
      <c r="M69" s="19" t="n">
        <v>5</v>
      </c>
      <c r="N69" s="22" t="s">
        <v>197</v>
      </c>
      <c r="O69" s="18" t="s">
        <v>556</v>
      </c>
      <c r="P69" s="18" t="s">
        <v>190</v>
      </c>
    </row>
    <row r="70" customFormat="false" ht="51.75" hidden="false" customHeight="true" outlineLevel="0" collapsed="false">
      <c r="A70" s="20" t="s">
        <v>566</v>
      </c>
      <c r="B70" s="15" t="s">
        <v>84</v>
      </c>
      <c r="C70" s="15" t="s">
        <v>71</v>
      </c>
      <c r="D70" s="15" t="s">
        <v>567</v>
      </c>
      <c r="E70" s="15" t="s">
        <v>166</v>
      </c>
      <c r="F70" s="16" t="s">
        <v>169</v>
      </c>
      <c r="G70" s="15" t="s">
        <v>193</v>
      </c>
      <c r="H70" s="15" t="s">
        <v>190</v>
      </c>
      <c r="I70" s="15" t="s">
        <v>190</v>
      </c>
      <c r="J70" s="15" t="s">
        <v>568</v>
      </c>
      <c r="K70" s="15" t="s">
        <v>569</v>
      </c>
      <c r="L70" s="15" t="s">
        <v>196</v>
      </c>
      <c r="M70" s="16" t="n">
        <v>5</v>
      </c>
      <c r="N70" s="22" t="s">
        <v>197</v>
      </c>
      <c r="O70" s="15" t="s">
        <v>562</v>
      </c>
      <c r="P70" s="15" t="s">
        <v>190</v>
      </c>
    </row>
    <row r="71" customFormat="false" ht="109.5" hidden="false" customHeight="true" outlineLevel="0" collapsed="false">
      <c r="A71" s="21" t="s">
        <v>570</v>
      </c>
      <c r="B71" s="18" t="s">
        <v>84</v>
      </c>
      <c r="C71" s="18" t="s">
        <v>71</v>
      </c>
      <c r="D71" s="18" t="s">
        <v>571</v>
      </c>
      <c r="E71" s="18" t="s">
        <v>166</v>
      </c>
      <c r="F71" s="19" t="s">
        <v>169</v>
      </c>
      <c r="G71" s="18" t="s">
        <v>572</v>
      </c>
      <c r="H71" s="18" t="s">
        <v>573</v>
      </c>
      <c r="I71" s="18" t="s">
        <v>190</v>
      </c>
      <c r="J71" s="18" t="s">
        <v>574</v>
      </c>
      <c r="K71" s="18" t="s">
        <v>575</v>
      </c>
      <c r="L71" s="18" t="s">
        <v>196</v>
      </c>
      <c r="M71" s="19" t="n">
        <v>8</v>
      </c>
      <c r="N71" s="22" t="s">
        <v>197</v>
      </c>
      <c r="O71" s="18" t="s">
        <v>576</v>
      </c>
      <c r="P71" s="18" t="s">
        <v>577</v>
      </c>
    </row>
    <row r="72" customFormat="false" ht="63" hidden="false" customHeight="true" outlineLevel="0" collapsed="false">
      <c r="A72" s="20" t="s">
        <v>578</v>
      </c>
      <c r="B72" s="15" t="s">
        <v>84</v>
      </c>
      <c r="C72" s="15" t="s">
        <v>71</v>
      </c>
      <c r="D72" s="15" t="s">
        <v>579</v>
      </c>
      <c r="E72" s="15" t="s">
        <v>166</v>
      </c>
      <c r="F72" s="16" t="s">
        <v>169</v>
      </c>
      <c r="G72" s="15" t="s">
        <v>580</v>
      </c>
      <c r="H72" s="15" t="s">
        <v>581</v>
      </c>
      <c r="I72" s="15" t="s">
        <v>190</v>
      </c>
      <c r="J72" s="15" t="s">
        <v>582</v>
      </c>
      <c r="K72" s="15" t="s">
        <v>583</v>
      </c>
      <c r="L72" s="15" t="s">
        <v>196</v>
      </c>
      <c r="M72" s="16" t="n">
        <v>5</v>
      </c>
      <c r="N72" s="22" t="s">
        <v>197</v>
      </c>
      <c r="O72" s="15" t="s">
        <v>584</v>
      </c>
      <c r="P72" s="15" t="s">
        <v>585</v>
      </c>
    </row>
    <row r="73" customFormat="false" ht="63" hidden="false" customHeight="true" outlineLevel="0" collapsed="false">
      <c r="A73" s="21" t="s">
        <v>586</v>
      </c>
      <c r="B73" s="18" t="s">
        <v>84</v>
      </c>
      <c r="C73" s="18" t="s">
        <v>71</v>
      </c>
      <c r="D73" s="18" t="s">
        <v>587</v>
      </c>
      <c r="E73" s="18" t="s">
        <v>166</v>
      </c>
      <c r="F73" s="19" t="s">
        <v>169</v>
      </c>
      <c r="G73" s="18" t="s">
        <v>588</v>
      </c>
      <c r="H73" s="18" t="s">
        <v>190</v>
      </c>
      <c r="I73" s="18" t="s">
        <v>190</v>
      </c>
      <c r="J73" s="18" t="s">
        <v>589</v>
      </c>
      <c r="K73" s="18" t="s">
        <v>590</v>
      </c>
      <c r="L73" s="18" t="s">
        <v>196</v>
      </c>
      <c r="M73" s="19" t="n">
        <v>3</v>
      </c>
      <c r="N73" s="23" t="s">
        <v>217</v>
      </c>
      <c r="O73" s="18" t="s">
        <v>570</v>
      </c>
      <c r="P73" s="18" t="s">
        <v>591</v>
      </c>
    </row>
    <row r="74" customFormat="false" ht="51.75" hidden="false" customHeight="true" outlineLevel="0" collapsed="false">
      <c r="A74" s="20" t="s">
        <v>592</v>
      </c>
      <c r="B74" s="15" t="s">
        <v>84</v>
      </c>
      <c r="C74" s="15" t="s">
        <v>71</v>
      </c>
      <c r="D74" s="15" t="s">
        <v>593</v>
      </c>
      <c r="E74" s="15" t="s">
        <v>166</v>
      </c>
      <c r="F74" s="16" t="s">
        <v>169</v>
      </c>
      <c r="G74" s="15" t="s">
        <v>594</v>
      </c>
      <c r="H74" s="15" t="s">
        <v>347</v>
      </c>
      <c r="I74" s="15" t="s">
        <v>190</v>
      </c>
      <c r="J74" s="15" t="s">
        <v>595</v>
      </c>
      <c r="K74" s="15" t="s">
        <v>596</v>
      </c>
      <c r="L74" s="15" t="s">
        <v>196</v>
      </c>
      <c r="M74" s="16" t="n">
        <v>5</v>
      </c>
      <c r="N74" s="23" t="s">
        <v>217</v>
      </c>
      <c r="O74" s="15" t="s">
        <v>597</v>
      </c>
      <c r="P74" s="15" t="s">
        <v>598</v>
      </c>
    </row>
    <row r="75" customFormat="false" ht="86.25" hidden="false" customHeight="true" outlineLevel="0" collapsed="false">
      <c r="A75" s="21" t="s">
        <v>599</v>
      </c>
      <c r="B75" s="18" t="s">
        <v>84</v>
      </c>
      <c r="C75" s="18" t="s">
        <v>71</v>
      </c>
      <c r="D75" s="18" t="s">
        <v>600</v>
      </c>
      <c r="E75" s="18" t="s">
        <v>166</v>
      </c>
      <c r="F75" s="19" t="s">
        <v>169</v>
      </c>
      <c r="G75" s="18" t="s">
        <v>601</v>
      </c>
      <c r="H75" s="18" t="s">
        <v>602</v>
      </c>
      <c r="I75" s="18" t="s">
        <v>190</v>
      </c>
      <c r="J75" s="18" t="s">
        <v>603</v>
      </c>
      <c r="K75" s="18" t="s">
        <v>604</v>
      </c>
      <c r="L75" s="18" t="s">
        <v>196</v>
      </c>
      <c r="M75" s="19" t="n">
        <v>5</v>
      </c>
      <c r="N75" s="23" t="s">
        <v>217</v>
      </c>
      <c r="O75" s="18" t="s">
        <v>605</v>
      </c>
      <c r="P75" s="18" t="s">
        <v>606</v>
      </c>
    </row>
    <row r="76" customFormat="false" ht="28.5" hidden="false" customHeight="true" outlineLevel="0" collapsed="false">
      <c r="A76" s="20" t="s">
        <v>607</v>
      </c>
      <c r="B76" s="15" t="s">
        <v>84</v>
      </c>
      <c r="C76" s="15" t="s">
        <v>71</v>
      </c>
      <c r="D76" s="15" t="s">
        <v>608</v>
      </c>
      <c r="E76" s="15" t="s">
        <v>166</v>
      </c>
      <c r="F76" s="16" t="s">
        <v>169</v>
      </c>
      <c r="G76" s="15" t="s">
        <v>609</v>
      </c>
      <c r="H76" s="15" t="s">
        <v>610</v>
      </c>
      <c r="I76" s="15" t="s">
        <v>190</v>
      </c>
      <c r="J76" s="15" t="s">
        <v>611</v>
      </c>
      <c r="K76" s="15" t="s">
        <v>612</v>
      </c>
      <c r="L76" s="15" t="s">
        <v>196</v>
      </c>
      <c r="M76" s="16" t="n">
        <v>2</v>
      </c>
      <c r="N76" s="13" t="s">
        <v>523</v>
      </c>
      <c r="O76" s="15" t="s">
        <v>570</v>
      </c>
      <c r="P76" s="15" t="s">
        <v>613</v>
      </c>
    </row>
    <row r="77" customFormat="false" ht="40.5" hidden="false" customHeight="true" outlineLevel="0" collapsed="false">
      <c r="A77" s="21" t="s">
        <v>614</v>
      </c>
      <c r="B77" s="18" t="s">
        <v>84</v>
      </c>
      <c r="C77" s="18" t="s">
        <v>71</v>
      </c>
      <c r="D77" s="18" t="s">
        <v>615</v>
      </c>
      <c r="E77" s="18" t="s">
        <v>166</v>
      </c>
      <c r="F77" s="19" t="s">
        <v>169</v>
      </c>
      <c r="G77" s="18" t="s">
        <v>616</v>
      </c>
      <c r="H77" s="18" t="s">
        <v>617</v>
      </c>
      <c r="I77" s="18" t="s">
        <v>190</v>
      </c>
      <c r="J77" s="18" t="s">
        <v>618</v>
      </c>
      <c r="K77" s="18" t="s">
        <v>619</v>
      </c>
      <c r="L77" s="18" t="s">
        <v>196</v>
      </c>
      <c r="M77" s="19" t="n">
        <v>3</v>
      </c>
      <c r="N77" s="24" t="s">
        <v>230</v>
      </c>
      <c r="O77" s="18" t="s">
        <v>570</v>
      </c>
      <c r="P77" s="18" t="s">
        <v>620</v>
      </c>
    </row>
    <row r="78" customFormat="false" ht="40.5" hidden="false" customHeight="true" outlineLevel="0" collapsed="false">
      <c r="A78" s="20" t="s">
        <v>621</v>
      </c>
      <c r="B78" s="15" t="s">
        <v>84</v>
      </c>
      <c r="C78" s="15" t="s">
        <v>71</v>
      </c>
      <c r="D78" s="15" t="s">
        <v>622</v>
      </c>
      <c r="E78" s="15" t="s">
        <v>166</v>
      </c>
      <c r="F78" s="16" t="s">
        <v>169</v>
      </c>
      <c r="G78" s="15" t="s">
        <v>623</v>
      </c>
      <c r="H78" s="15" t="s">
        <v>190</v>
      </c>
      <c r="I78" s="15" t="s">
        <v>190</v>
      </c>
      <c r="J78" s="15" t="s">
        <v>624</v>
      </c>
      <c r="K78" s="15" t="s">
        <v>625</v>
      </c>
      <c r="L78" s="15" t="s">
        <v>196</v>
      </c>
      <c r="M78" s="16" t="n">
        <v>3</v>
      </c>
      <c r="N78" s="24" t="s">
        <v>230</v>
      </c>
      <c r="O78" s="15" t="s">
        <v>570</v>
      </c>
      <c r="P78" s="15" t="s">
        <v>626</v>
      </c>
    </row>
    <row r="79" customFormat="false" ht="75" hidden="false" customHeight="true" outlineLevel="0" collapsed="false">
      <c r="A79" s="21" t="s">
        <v>627</v>
      </c>
      <c r="B79" s="18" t="s">
        <v>84</v>
      </c>
      <c r="C79" s="18" t="s">
        <v>71</v>
      </c>
      <c r="D79" s="18" t="s">
        <v>628</v>
      </c>
      <c r="E79" s="18" t="s">
        <v>166</v>
      </c>
      <c r="F79" s="19" t="s">
        <v>169</v>
      </c>
      <c r="G79" s="18" t="s">
        <v>629</v>
      </c>
      <c r="H79" s="18" t="s">
        <v>630</v>
      </c>
      <c r="I79" s="18" t="s">
        <v>190</v>
      </c>
      <c r="J79" s="18" t="s">
        <v>631</v>
      </c>
      <c r="K79" s="18" t="s">
        <v>632</v>
      </c>
      <c r="L79" s="18" t="s">
        <v>196</v>
      </c>
      <c r="M79" s="19" t="n">
        <v>5</v>
      </c>
      <c r="N79" s="23" t="s">
        <v>217</v>
      </c>
      <c r="O79" s="18" t="s">
        <v>633</v>
      </c>
      <c r="P79" s="18" t="s">
        <v>634</v>
      </c>
    </row>
    <row r="80" customFormat="false" ht="51.75" hidden="false" customHeight="true" outlineLevel="0" collapsed="false">
      <c r="A80" s="20" t="s">
        <v>635</v>
      </c>
      <c r="B80" s="15" t="s">
        <v>84</v>
      </c>
      <c r="C80" s="15" t="s">
        <v>71</v>
      </c>
      <c r="D80" s="15" t="s">
        <v>636</v>
      </c>
      <c r="E80" s="15" t="s">
        <v>166</v>
      </c>
      <c r="F80" s="16" t="s">
        <v>169</v>
      </c>
      <c r="G80" s="15" t="s">
        <v>637</v>
      </c>
      <c r="H80" s="15" t="s">
        <v>190</v>
      </c>
      <c r="I80" s="15" t="s">
        <v>559</v>
      </c>
      <c r="J80" s="15" t="s">
        <v>638</v>
      </c>
      <c r="K80" s="15" t="s">
        <v>639</v>
      </c>
      <c r="L80" s="15" t="s">
        <v>196</v>
      </c>
      <c r="M80" s="16" t="n">
        <v>3</v>
      </c>
      <c r="N80" s="23" t="s">
        <v>217</v>
      </c>
      <c r="O80" s="15" t="s">
        <v>556</v>
      </c>
      <c r="P80" s="15" t="s">
        <v>640</v>
      </c>
    </row>
    <row r="81" customFormat="false" ht="40.5" hidden="false" customHeight="true" outlineLevel="0" collapsed="false">
      <c r="A81" s="21" t="s">
        <v>641</v>
      </c>
      <c r="B81" s="18" t="s">
        <v>84</v>
      </c>
      <c r="C81" s="18" t="s">
        <v>71</v>
      </c>
      <c r="D81" s="18" t="s">
        <v>642</v>
      </c>
      <c r="E81" s="18" t="s">
        <v>166</v>
      </c>
      <c r="F81" s="19" t="s">
        <v>169</v>
      </c>
      <c r="G81" s="18" t="s">
        <v>643</v>
      </c>
      <c r="H81" s="18" t="s">
        <v>190</v>
      </c>
      <c r="I81" s="18" t="s">
        <v>190</v>
      </c>
      <c r="J81" s="18" t="s">
        <v>644</v>
      </c>
      <c r="K81" s="18" t="s">
        <v>645</v>
      </c>
      <c r="L81" s="18" t="s">
        <v>196</v>
      </c>
      <c r="M81" s="19" t="n">
        <v>3</v>
      </c>
      <c r="N81" s="24" t="s">
        <v>230</v>
      </c>
      <c r="O81" s="18" t="s">
        <v>646</v>
      </c>
      <c r="P81" s="18" t="s">
        <v>647</v>
      </c>
    </row>
    <row r="82" customFormat="false" ht="86.25" hidden="false" customHeight="true" outlineLevel="0" collapsed="false">
      <c r="A82" s="20" t="s">
        <v>648</v>
      </c>
      <c r="B82" s="15" t="s">
        <v>84</v>
      </c>
      <c r="C82" s="15" t="s">
        <v>71</v>
      </c>
      <c r="D82" s="15" t="s">
        <v>649</v>
      </c>
      <c r="E82" s="15" t="s">
        <v>166</v>
      </c>
      <c r="F82" s="16" t="s">
        <v>169</v>
      </c>
      <c r="G82" s="15" t="s">
        <v>650</v>
      </c>
      <c r="H82" s="15" t="s">
        <v>190</v>
      </c>
      <c r="I82" s="15" t="s">
        <v>190</v>
      </c>
      <c r="J82" s="15" t="s">
        <v>651</v>
      </c>
      <c r="K82" s="15" t="s">
        <v>652</v>
      </c>
      <c r="L82" s="15" t="s">
        <v>196</v>
      </c>
      <c r="M82" s="16" t="n">
        <v>5</v>
      </c>
      <c r="N82" s="23" t="s">
        <v>217</v>
      </c>
      <c r="O82" s="15" t="s">
        <v>653</v>
      </c>
      <c r="P82" s="15" t="s">
        <v>654</v>
      </c>
    </row>
    <row r="83" customFormat="false" ht="63" hidden="false" customHeight="true" outlineLevel="0" collapsed="false">
      <c r="A83" s="21" t="s">
        <v>655</v>
      </c>
      <c r="B83" s="18" t="s">
        <v>84</v>
      </c>
      <c r="C83" s="18" t="s">
        <v>71</v>
      </c>
      <c r="D83" s="18" t="s">
        <v>656</v>
      </c>
      <c r="E83" s="18" t="s">
        <v>166</v>
      </c>
      <c r="F83" s="19" t="s">
        <v>169</v>
      </c>
      <c r="G83" s="18" t="s">
        <v>657</v>
      </c>
      <c r="H83" s="18" t="s">
        <v>190</v>
      </c>
      <c r="I83" s="18" t="s">
        <v>190</v>
      </c>
      <c r="J83" s="18" t="s">
        <v>658</v>
      </c>
      <c r="K83" s="18" t="s">
        <v>659</v>
      </c>
      <c r="L83" s="18" t="s">
        <v>196</v>
      </c>
      <c r="M83" s="19" t="n">
        <v>5</v>
      </c>
      <c r="N83" s="22" t="s">
        <v>197</v>
      </c>
      <c r="O83" s="18" t="s">
        <v>660</v>
      </c>
      <c r="P83" s="18" t="s">
        <v>661</v>
      </c>
    </row>
    <row r="84" customFormat="false" ht="51.75" hidden="false" customHeight="true" outlineLevel="0" collapsed="false">
      <c r="A84" s="20" t="s">
        <v>662</v>
      </c>
      <c r="B84" s="15" t="s">
        <v>84</v>
      </c>
      <c r="C84" s="15" t="s">
        <v>71</v>
      </c>
      <c r="D84" s="15" t="s">
        <v>663</v>
      </c>
      <c r="E84" s="15" t="s">
        <v>166</v>
      </c>
      <c r="F84" s="16" t="s">
        <v>169</v>
      </c>
      <c r="G84" s="15" t="s">
        <v>664</v>
      </c>
      <c r="H84" s="15" t="s">
        <v>190</v>
      </c>
      <c r="I84" s="15" t="s">
        <v>190</v>
      </c>
      <c r="J84" s="15" t="s">
        <v>665</v>
      </c>
      <c r="K84" s="15" t="s">
        <v>666</v>
      </c>
      <c r="L84" s="15" t="s">
        <v>196</v>
      </c>
      <c r="M84" s="16" t="n">
        <v>3</v>
      </c>
      <c r="N84" s="24" t="s">
        <v>230</v>
      </c>
      <c r="O84" s="15" t="s">
        <v>667</v>
      </c>
      <c r="P84" s="15" t="s">
        <v>668</v>
      </c>
    </row>
    <row r="85" customFormat="false" ht="75" hidden="false" customHeight="true" outlineLevel="0" collapsed="false">
      <c r="A85" s="21" t="s">
        <v>669</v>
      </c>
      <c r="B85" s="18" t="s">
        <v>84</v>
      </c>
      <c r="C85" s="18" t="s">
        <v>71</v>
      </c>
      <c r="D85" s="18" t="s">
        <v>670</v>
      </c>
      <c r="E85" s="18" t="s">
        <v>166</v>
      </c>
      <c r="F85" s="19" t="s">
        <v>169</v>
      </c>
      <c r="G85" s="18" t="s">
        <v>671</v>
      </c>
      <c r="H85" s="18" t="s">
        <v>190</v>
      </c>
      <c r="I85" s="18" t="s">
        <v>190</v>
      </c>
      <c r="J85" s="18" t="s">
        <v>672</v>
      </c>
      <c r="K85" s="18" t="s">
        <v>673</v>
      </c>
      <c r="L85" s="18" t="s">
        <v>196</v>
      </c>
      <c r="M85" s="19" t="n">
        <v>5</v>
      </c>
      <c r="N85" s="24" t="s">
        <v>230</v>
      </c>
      <c r="O85" s="18" t="s">
        <v>674</v>
      </c>
      <c r="P85" s="18" t="s">
        <v>675</v>
      </c>
    </row>
    <row r="86" customFormat="false" ht="75" hidden="false" customHeight="true" outlineLevel="0" collapsed="false">
      <c r="A86" s="20" t="s">
        <v>676</v>
      </c>
      <c r="B86" s="15" t="s">
        <v>84</v>
      </c>
      <c r="C86" s="15" t="s">
        <v>71</v>
      </c>
      <c r="D86" s="15" t="s">
        <v>677</v>
      </c>
      <c r="E86" s="15" t="s">
        <v>166</v>
      </c>
      <c r="F86" s="16" t="s">
        <v>169</v>
      </c>
      <c r="G86" s="15" t="s">
        <v>193</v>
      </c>
      <c r="H86" s="15" t="s">
        <v>678</v>
      </c>
      <c r="I86" s="15" t="s">
        <v>190</v>
      </c>
      <c r="J86" s="15" t="s">
        <v>679</v>
      </c>
      <c r="K86" s="15" t="s">
        <v>680</v>
      </c>
      <c r="L86" s="15" t="s">
        <v>196</v>
      </c>
      <c r="M86" s="16" t="n">
        <v>5</v>
      </c>
      <c r="N86" s="23" t="s">
        <v>217</v>
      </c>
      <c r="O86" s="15" t="s">
        <v>578</v>
      </c>
      <c r="P86" s="15" t="s">
        <v>190</v>
      </c>
    </row>
    <row r="87" customFormat="false" ht="75" hidden="false" customHeight="true" outlineLevel="0" collapsed="false">
      <c r="A87" s="21" t="s">
        <v>681</v>
      </c>
      <c r="B87" s="18" t="s">
        <v>84</v>
      </c>
      <c r="C87" s="18" t="s">
        <v>71</v>
      </c>
      <c r="D87" s="18" t="s">
        <v>682</v>
      </c>
      <c r="E87" s="18" t="s">
        <v>166</v>
      </c>
      <c r="F87" s="19" t="s">
        <v>169</v>
      </c>
      <c r="G87" s="18" t="s">
        <v>193</v>
      </c>
      <c r="H87" s="18" t="s">
        <v>190</v>
      </c>
      <c r="I87" s="18" t="s">
        <v>190</v>
      </c>
      <c r="J87" s="18" t="s">
        <v>683</v>
      </c>
      <c r="K87" s="18" t="s">
        <v>684</v>
      </c>
      <c r="L87" s="18" t="s">
        <v>196</v>
      </c>
      <c r="M87" s="19" t="n">
        <v>3</v>
      </c>
      <c r="N87" s="23" t="s">
        <v>217</v>
      </c>
      <c r="O87" s="18" t="s">
        <v>578</v>
      </c>
      <c r="P87" s="18" t="s">
        <v>190</v>
      </c>
    </row>
    <row r="88" customFormat="false" ht="63" hidden="false" customHeight="true" outlineLevel="0" collapsed="false">
      <c r="A88" s="20" t="s">
        <v>685</v>
      </c>
      <c r="B88" s="15" t="s">
        <v>87</v>
      </c>
      <c r="C88" s="15" t="s">
        <v>71</v>
      </c>
      <c r="D88" s="15" t="s">
        <v>686</v>
      </c>
      <c r="E88" s="15" t="s">
        <v>170</v>
      </c>
      <c r="F88" s="16" t="s">
        <v>286</v>
      </c>
      <c r="G88" s="15" t="s">
        <v>193</v>
      </c>
      <c r="H88" s="15" t="s">
        <v>687</v>
      </c>
      <c r="I88" s="15" t="s">
        <v>190</v>
      </c>
      <c r="J88" s="15" t="s">
        <v>688</v>
      </c>
      <c r="K88" s="15" t="s">
        <v>689</v>
      </c>
      <c r="L88" s="15" t="s">
        <v>196</v>
      </c>
      <c r="M88" s="16" t="n">
        <v>5</v>
      </c>
      <c r="N88" s="22" t="s">
        <v>197</v>
      </c>
      <c r="O88" s="15" t="s">
        <v>222</v>
      </c>
      <c r="P88" s="15" t="s">
        <v>190</v>
      </c>
    </row>
    <row r="89" customFormat="false" ht="63" hidden="false" customHeight="true" outlineLevel="0" collapsed="false">
      <c r="A89" s="21" t="s">
        <v>690</v>
      </c>
      <c r="B89" s="18" t="s">
        <v>87</v>
      </c>
      <c r="C89" s="18" t="s">
        <v>71</v>
      </c>
      <c r="D89" s="18" t="s">
        <v>691</v>
      </c>
      <c r="E89" s="18" t="s">
        <v>170</v>
      </c>
      <c r="F89" s="19" t="s">
        <v>286</v>
      </c>
      <c r="G89" s="18" t="s">
        <v>193</v>
      </c>
      <c r="H89" s="18" t="s">
        <v>190</v>
      </c>
      <c r="I89" s="18" t="s">
        <v>190</v>
      </c>
      <c r="J89" s="18" t="s">
        <v>692</v>
      </c>
      <c r="K89" s="18" t="s">
        <v>693</v>
      </c>
      <c r="L89" s="18" t="s">
        <v>196</v>
      </c>
      <c r="M89" s="19" t="n">
        <v>3</v>
      </c>
      <c r="N89" s="22" t="s">
        <v>197</v>
      </c>
      <c r="O89" s="18" t="s">
        <v>685</v>
      </c>
      <c r="P89" s="18" t="s">
        <v>190</v>
      </c>
    </row>
    <row r="90" customFormat="false" ht="40.5" hidden="false" customHeight="true" outlineLevel="0" collapsed="false">
      <c r="A90" s="20" t="s">
        <v>694</v>
      </c>
      <c r="B90" s="15" t="s">
        <v>87</v>
      </c>
      <c r="C90" s="15" t="s">
        <v>71</v>
      </c>
      <c r="D90" s="15" t="s">
        <v>695</v>
      </c>
      <c r="E90" s="15" t="s">
        <v>170</v>
      </c>
      <c r="F90" s="16" t="s">
        <v>286</v>
      </c>
      <c r="G90" s="15" t="s">
        <v>193</v>
      </c>
      <c r="H90" s="15" t="s">
        <v>190</v>
      </c>
      <c r="I90" s="15" t="s">
        <v>190</v>
      </c>
      <c r="J90" s="15" t="s">
        <v>696</v>
      </c>
      <c r="K90" s="15" t="s">
        <v>697</v>
      </c>
      <c r="L90" s="15" t="s">
        <v>196</v>
      </c>
      <c r="M90" s="16" t="n">
        <v>3</v>
      </c>
      <c r="N90" s="24" t="s">
        <v>230</v>
      </c>
      <c r="O90" s="15" t="s">
        <v>189</v>
      </c>
      <c r="P90" s="15" t="s">
        <v>190</v>
      </c>
    </row>
    <row r="91" customFormat="false" ht="28.5" hidden="false" customHeight="true" outlineLevel="0" collapsed="false">
      <c r="A91" s="21" t="s">
        <v>698</v>
      </c>
      <c r="B91" s="18" t="s">
        <v>87</v>
      </c>
      <c r="C91" s="18" t="s">
        <v>71</v>
      </c>
      <c r="D91" s="18" t="s">
        <v>699</v>
      </c>
      <c r="E91" s="18" t="s">
        <v>170</v>
      </c>
      <c r="F91" s="19" t="s">
        <v>150</v>
      </c>
      <c r="G91" s="18" t="s">
        <v>193</v>
      </c>
      <c r="H91" s="18" t="s">
        <v>190</v>
      </c>
      <c r="I91" s="18" t="s">
        <v>190</v>
      </c>
      <c r="J91" s="18" t="s">
        <v>700</v>
      </c>
      <c r="K91" s="18" t="s">
        <v>701</v>
      </c>
      <c r="L91" s="18" t="s">
        <v>196</v>
      </c>
      <c r="M91" s="19" t="n">
        <v>2</v>
      </c>
      <c r="N91" s="24" t="s">
        <v>230</v>
      </c>
      <c r="O91" s="18" t="s">
        <v>226</v>
      </c>
      <c r="P91" s="18" t="s">
        <v>190</v>
      </c>
    </row>
    <row r="92" customFormat="false" ht="51.75" hidden="false" customHeight="true" outlineLevel="0" collapsed="false">
      <c r="A92" s="20" t="s">
        <v>702</v>
      </c>
      <c r="B92" s="15" t="s">
        <v>87</v>
      </c>
      <c r="C92" s="15" t="s">
        <v>71</v>
      </c>
      <c r="D92" s="15" t="s">
        <v>703</v>
      </c>
      <c r="E92" s="15" t="s">
        <v>170</v>
      </c>
      <c r="F92" s="16" t="s">
        <v>286</v>
      </c>
      <c r="G92" s="15" t="s">
        <v>193</v>
      </c>
      <c r="H92" s="15" t="s">
        <v>704</v>
      </c>
      <c r="I92" s="15" t="s">
        <v>190</v>
      </c>
      <c r="J92" s="15" t="s">
        <v>705</v>
      </c>
      <c r="K92" s="15" t="s">
        <v>706</v>
      </c>
      <c r="L92" s="15" t="s">
        <v>196</v>
      </c>
      <c r="M92" s="16" t="n">
        <v>3</v>
      </c>
      <c r="N92" s="24" t="s">
        <v>230</v>
      </c>
      <c r="O92" s="15" t="s">
        <v>685</v>
      </c>
      <c r="P92" s="15" t="s">
        <v>190</v>
      </c>
    </row>
    <row r="93" customFormat="false" ht="28.5" hidden="false" customHeight="true" outlineLevel="0" collapsed="false">
      <c r="A93" s="21" t="s">
        <v>707</v>
      </c>
      <c r="B93" s="18" t="s">
        <v>190</v>
      </c>
      <c r="C93" s="18" t="s">
        <v>708</v>
      </c>
      <c r="D93" s="18" t="s">
        <v>709</v>
      </c>
      <c r="E93" s="18" t="s">
        <v>174</v>
      </c>
      <c r="F93" s="19" t="s">
        <v>150</v>
      </c>
      <c r="G93" s="18" t="s">
        <v>193</v>
      </c>
      <c r="H93" s="18" t="s">
        <v>190</v>
      </c>
      <c r="I93" s="18" t="s">
        <v>190</v>
      </c>
      <c r="J93" s="18" t="s">
        <v>710</v>
      </c>
      <c r="K93" s="18" t="s">
        <v>711</v>
      </c>
      <c r="L93" s="18" t="s">
        <v>196</v>
      </c>
      <c r="M93" s="19" t="n">
        <v>3</v>
      </c>
      <c r="N93" s="22" t="s">
        <v>197</v>
      </c>
      <c r="O93" s="18" t="s">
        <v>209</v>
      </c>
      <c r="P93" s="18" t="s">
        <v>190</v>
      </c>
    </row>
    <row r="94" customFormat="false" ht="28.5" hidden="false" customHeight="true" outlineLevel="0" collapsed="false">
      <c r="A94" s="20" t="s">
        <v>712</v>
      </c>
      <c r="B94" s="15" t="s">
        <v>190</v>
      </c>
      <c r="C94" s="15" t="s">
        <v>708</v>
      </c>
      <c r="D94" s="15" t="s">
        <v>713</v>
      </c>
      <c r="E94" s="15" t="s">
        <v>174</v>
      </c>
      <c r="F94" s="16" t="s">
        <v>169</v>
      </c>
      <c r="G94" s="15" t="s">
        <v>193</v>
      </c>
      <c r="H94" s="15" t="s">
        <v>190</v>
      </c>
      <c r="I94" s="15" t="s">
        <v>190</v>
      </c>
      <c r="J94" s="15" t="s">
        <v>714</v>
      </c>
      <c r="K94" s="15" t="s">
        <v>715</v>
      </c>
      <c r="L94" s="15" t="s">
        <v>196</v>
      </c>
      <c r="M94" s="16" t="n">
        <v>3</v>
      </c>
      <c r="N94" s="22" t="s">
        <v>197</v>
      </c>
      <c r="O94" s="15" t="s">
        <v>566</v>
      </c>
      <c r="P94" s="15" t="s">
        <v>190</v>
      </c>
    </row>
    <row r="95" customFormat="false" ht="40.5" hidden="false" customHeight="true" outlineLevel="0" collapsed="false">
      <c r="A95" s="21" t="s">
        <v>716</v>
      </c>
      <c r="B95" s="18" t="s">
        <v>190</v>
      </c>
      <c r="C95" s="18" t="s">
        <v>708</v>
      </c>
      <c r="D95" s="18" t="s">
        <v>717</v>
      </c>
      <c r="E95" s="18" t="s">
        <v>174</v>
      </c>
      <c r="F95" s="19" t="s">
        <v>286</v>
      </c>
      <c r="G95" s="18" t="s">
        <v>193</v>
      </c>
      <c r="H95" s="18" t="s">
        <v>190</v>
      </c>
      <c r="I95" s="18" t="s">
        <v>190</v>
      </c>
      <c r="J95" s="18" t="s">
        <v>718</v>
      </c>
      <c r="K95" s="18" t="s">
        <v>719</v>
      </c>
      <c r="L95" s="18" t="s">
        <v>196</v>
      </c>
      <c r="M95" s="19" t="n">
        <v>3</v>
      </c>
      <c r="N95" s="23" t="s">
        <v>217</v>
      </c>
      <c r="O95" s="18" t="s">
        <v>236</v>
      </c>
      <c r="P95" s="18" t="s">
        <v>190</v>
      </c>
    </row>
    <row r="96" customFormat="false" ht="51.75" hidden="false" customHeight="true" outlineLevel="0" collapsed="false">
      <c r="A96" s="20" t="s">
        <v>720</v>
      </c>
      <c r="B96" s="15" t="s">
        <v>190</v>
      </c>
      <c r="C96" s="15" t="s">
        <v>708</v>
      </c>
      <c r="D96" s="15" t="s">
        <v>721</v>
      </c>
      <c r="E96" s="15" t="s">
        <v>174</v>
      </c>
      <c r="F96" s="16" t="s">
        <v>161</v>
      </c>
      <c r="G96" s="15" t="s">
        <v>193</v>
      </c>
      <c r="H96" s="15" t="s">
        <v>190</v>
      </c>
      <c r="I96" s="15" t="s">
        <v>190</v>
      </c>
      <c r="J96" s="15" t="s">
        <v>722</v>
      </c>
      <c r="K96" s="15" t="s">
        <v>723</v>
      </c>
      <c r="L96" s="15" t="s">
        <v>196</v>
      </c>
      <c r="M96" s="16" t="n">
        <v>5</v>
      </c>
      <c r="N96" s="22" t="s">
        <v>197</v>
      </c>
      <c r="O96" s="15" t="s">
        <v>472</v>
      </c>
      <c r="P96" s="15" t="s">
        <v>190</v>
      </c>
    </row>
    <row r="97" customFormat="false" ht="51.75" hidden="false" customHeight="true" outlineLevel="0" collapsed="false">
      <c r="A97" s="21" t="s">
        <v>724</v>
      </c>
      <c r="B97" s="18" t="s">
        <v>190</v>
      </c>
      <c r="C97" s="18" t="s">
        <v>708</v>
      </c>
      <c r="D97" s="18" t="s">
        <v>725</v>
      </c>
      <c r="E97" s="18" t="s">
        <v>174</v>
      </c>
      <c r="F97" s="19" t="s">
        <v>286</v>
      </c>
      <c r="G97" s="18" t="s">
        <v>193</v>
      </c>
      <c r="H97" s="18" t="s">
        <v>190</v>
      </c>
      <c r="I97" s="18" t="s">
        <v>190</v>
      </c>
      <c r="J97" s="18" t="s">
        <v>726</v>
      </c>
      <c r="K97" s="18" t="s">
        <v>727</v>
      </c>
      <c r="L97" s="18" t="s">
        <v>196</v>
      </c>
      <c r="M97" s="19" t="n">
        <v>3</v>
      </c>
      <c r="N97" s="24" t="s">
        <v>230</v>
      </c>
      <c r="O97" s="18" t="s">
        <v>303</v>
      </c>
      <c r="P97" s="18" t="s">
        <v>190</v>
      </c>
    </row>
    <row r="98" customFormat="false" ht="97.5" hidden="false" customHeight="true" outlineLevel="0" collapsed="false">
      <c r="A98" s="20" t="s">
        <v>728</v>
      </c>
      <c r="B98" s="15" t="s">
        <v>190</v>
      </c>
      <c r="C98" s="15" t="s">
        <v>708</v>
      </c>
      <c r="D98" s="15" t="s">
        <v>729</v>
      </c>
      <c r="E98" s="15" t="s">
        <v>174</v>
      </c>
      <c r="F98" s="16" t="s">
        <v>161</v>
      </c>
      <c r="G98" s="15" t="s">
        <v>193</v>
      </c>
      <c r="H98" s="15" t="s">
        <v>190</v>
      </c>
      <c r="I98" s="15" t="s">
        <v>190</v>
      </c>
      <c r="J98" s="15" t="s">
        <v>730</v>
      </c>
      <c r="K98" s="15" t="s">
        <v>731</v>
      </c>
      <c r="L98" s="15" t="s">
        <v>196</v>
      </c>
      <c r="M98" s="16" t="n">
        <v>5</v>
      </c>
      <c r="N98" s="23" t="s">
        <v>217</v>
      </c>
      <c r="O98" s="15" t="s">
        <v>732</v>
      </c>
      <c r="P98" s="15" t="s">
        <v>190</v>
      </c>
    </row>
  </sheetData>
  <autoFilter ref="A1:P98"/>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7"/>
  </cols>
  <sheetData>
    <row r="1" customFormat="false" ht="17.35" hidden="false" customHeight="false" outlineLevel="0" collapsed="false">
      <c r="A1" s="25" t="s">
        <v>733</v>
      </c>
    </row>
    <row r="2" customFormat="false" ht="25.5" hidden="false" customHeight="true" outlineLevel="0" collapsed="false">
      <c r="A2" s="2" t="s">
        <v>734</v>
      </c>
      <c r="B2" s="2"/>
      <c r="C2" s="2"/>
      <c r="D2" s="2"/>
      <c r="E2" s="2"/>
      <c r="F2" s="2"/>
      <c r="G2" s="2"/>
      <c r="H2" s="2"/>
    </row>
    <row r="4" customFormat="false" ht="15" hidden="false" customHeight="false" outlineLevel="0" collapsed="false">
      <c r="A4" s="26" t="s">
        <v>735</v>
      </c>
    </row>
    <row r="5" customFormat="false" ht="21.75" hidden="false" customHeight="true" outlineLevel="0" collapsed="false">
      <c r="A5" s="27"/>
      <c r="B5" s="28" t="s">
        <v>70</v>
      </c>
      <c r="C5" s="28" t="s">
        <v>75</v>
      </c>
      <c r="D5" s="28" t="s">
        <v>78</v>
      </c>
      <c r="E5" s="28" t="s">
        <v>81</v>
      </c>
      <c r="F5" s="28" t="s">
        <v>84</v>
      </c>
      <c r="G5" s="28" t="s">
        <v>87</v>
      </c>
      <c r="H5" s="28" t="s">
        <v>190</v>
      </c>
      <c r="I5" s="29" t="s">
        <v>736</v>
      </c>
    </row>
    <row r="6" customFormat="false" ht="15" hidden="false" customHeight="false" outlineLevel="0" collapsed="false">
      <c r="A6" s="30" t="s">
        <v>150</v>
      </c>
      <c r="B6" s="31" t="n">
        <f aca="false">SUMIFS(Backlog!$M$2:$M$98,Backlog!$F$2:$F$98,"SP-00",Backlog!$B$2:$B$98,"Core")</f>
        <v>41</v>
      </c>
      <c r="C6" s="31" t="n">
        <f aca="false">SUMIFS(Backlog!$M$2:$M$98,Backlog!$F$2:$F$98,"SP-00",Backlog!$B$2:$B$98,"Identity")</f>
        <v>0</v>
      </c>
      <c r="D6" s="31" t="n">
        <f aca="false">SUMIFS(Backlog!$M$2:$M$98,Backlog!$F$2:$F$98,"SP-00",Backlog!$B$2:$B$98,"Access")</f>
        <v>0</v>
      </c>
      <c r="E6" s="31" t="n">
        <f aca="false">SUMIFS(Backlog!$M$2:$M$98,Backlog!$F$2:$F$98,"SP-00",Backlog!$B$2:$B$98,"Reference")</f>
        <v>0</v>
      </c>
      <c r="F6" s="31" t="n">
        <f aca="false">SUMIFS(Backlog!$M$2:$M$98,Backlog!$F$2:$F$98,"SP-00",Backlog!$B$2:$B$98,"Tenancy")</f>
        <v>0</v>
      </c>
      <c r="G6" s="31" t="n">
        <f aca="false">SUMIFS(Backlog!$M$2:$M$98,Backlog!$F$2:$F$98,"SP-00",Backlog!$B$2:$B$98,"Integration")</f>
        <v>2</v>
      </c>
      <c r="H6" s="31" t="n">
        <f aca="false">SUMIFS(Backlog!$M$2:$M$98,Backlog!$F$2:$F$98,"SP-00",Backlog!$B$2:$B$98,"—")</f>
        <v>36</v>
      </c>
      <c r="I6" s="32" t="n">
        <f aca="false">SUM(B6:H6)</f>
        <v>79</v>
      </c>
    </row>
    <row r="7" customFormat="false" ht="15" hidden="false" customHeight="false" outlineLevel="0" collapsed="false">
      <c r="A7" s="33" t="s">
        <v>286</v>
      </c>
      <c r="B7" s="34" t="n">
        <f aca="false">SUMIFS(Backlog!$M$2:$M$98,Backlog!$F$2:$F$98,"SP-01",Backlog!$B$2:$B$98,"Core")</f>
        <v>0</v>
      </c>
      <c r="C7" s="34" t="n">
        <f aca="false">SUMIFS(Backlog!$M$2:$M$98,Backlog!$F$2:$F$98,"SP-01",Backlog!$B$2:$B$98,"Identity")</f>
        <v>65</v>
      </c>
      <c r="D7" s="34" t="n">
        <f aca="false">SUMIFS(Backlog!$M$2:$M$98,Backlog!$F$2:$F$98,"SP-01",Backlog!$B$2:$B$98,"Access")</f>
        <v>0</v>
      </c>
      <c r="E7" s="34" t="n">
        <f aca="false">SUMIFS(Backlog!$M$2:$M$98,Backlog!$F$2:$F$98,"SP-01",Backlog!$B$2:$B$98,"Reference")</f>
        <v>0</v>
      </c>
      <c r="F7" s="34" t="n">
        <f aca="false">SUMIFS(Backlog!$M$2:$M$98,Backlog!$F$2:$F$98,"SP-01",Backlog!$B$2:$B$98,"Tenancy")</f>
        <v>0</v>
      </c>
      <c r="G7" s="34" t="n">
        <f aca="false">SUMIFS(Backlog!$M$2:$M$98,Backlog!$F$2:$F$98,"SP-01",Backlog!$B$2:$B$98,"Integration")</f>
        <v>14</v>
      </c>
      <c r="H7" s="34" t="n">
        <f aca="false">SUMIFS(Backlog!$M$2:$M$98,Backlog!$F$2:$F$98,"SP-01",Backlog!$B$2:$B$98,"—")</f>
        <v>6</v>
      </c>
      <c r="I7" s="35" t="n">
        <f aca="false">SUM(B7:H7)</f>
        <v>85</v>
      </c>
    </row>
    <row r="8" customFormat="false" ht="15" hidden="false" customHeight="false" outlineLevel="0" collapsed="false">
      <c r="A8" s="30" t="s">
        <v>161</v>
      </c>
      <c r="B8" s="31" t="n">
        <f aca="false">SUMIFS(Backlog!$M$2:$M$98,Backlog!$F$2:$F$98,"SP-02",Backlog!$B$2:$B$98,"Core")</f>
        <v>0</v>
      </c>
      <c r="C8" s="31" t="n">
        <f aca="false">SUMIFS(Backlog!$M$2:$M$98,Backlog!$F$2:$F$98,"SP-02",Backlog!$B$2:$B$98,"Identity")</f>
        <v>0</v>
      </c>
      <c r="D8" s="31" t="n">
        <f aca="false">SUMIFS(Backlog!$M$2:$M$98,Backlog!$F$2:$F$98,"SP-02",Backlog!$B$2:$B$98,"Access")</f>
        <v>67</v>
      </c>
      <c r="E8" s="31" t="n">
        <f aca="false">SUMIFS(Backlog!$M$2:$M$98,Backlog!$F$2:$F$98,"SP-02",Backlog!$B$2:$B$98,"Reference")</f>
        <v>0</v>
      </c>
      <c r="F8" s="31" t="n">
        <f aca="false">SUMIFS(Backlog!$M$2:$M$98,Backlog!$F$2:$F$98,"SP-02",Backlog!$B$2:$B$98,"Tenancy")</f>
        <v>0</v>
      </c>
      <c r="G8" s="31" t="n">
        <f aca="false">SUMIFS(Backlog!$M$2:$M$98,Backlog!$F$2:$F$98,"SP-02",Backlog!$B$2:$B$98,"Integration")</f>
        <v>0</v>
      </c>
      <c r="H8" s="31" t="n">
        <f aca="false">SUMIFS(Backlog!$M$2:$M$98,Backlog!$F$2:$F$98,"SP-02",Backlog!$B$2:$B$98,"—")</f>
        <v>10</v>
      </c>
      <c r="I8" s="32" t="n">
        <f aca="false">SUM(B8:H8)</f>
        <v>77</v>
      </c>
    </row>
    <row r="9" customFormat="false" ht="15" hidden="false" customHeight="false" outlineLevel="0" collapsed="false">
      <c r="A9" s="33" t="s">
        <v>165</v>
      </c>
      <c r="B9" s="34" t="n">
        <f aca="false">SUMIFS(Backlog!$M$2:$M$98,Backlog!$F$2:$F$98,"SP-03",Backlog!$B$2:$B$98,"Core")</f>
        <v>0</v>
      </c>
      <c r="C9" s="34" t="n">
        <f aca="false">SUMIFS(Backlog!$M$2:$M$98,Backlog!$F$2:$F$98,"SP-03",Backlog!$B$2:$B$98,"Identity")</f>
        <v>0</v>
      </c>
      <c r="D9" s="34" t="n">
        <f aca="false">SUMIFS(Backlog!$M$2:$M$98,Backlog!$F$2:$F$98,"SP-03",Backlog!$B$2:$B$98,"Access")</f>
        <v>0</v>
      </c>
      <c r="E9" s="34" t="n">
        <f aca="false">SUMIFS(Backlog!$M$2:$M$98,Backlog!$F$2:$F$98,"SP-03",Backlog!$B$2:$B$98,"Reference")</f>
        <v>43</v>
      </c>
      <c r="F9" s="34" t="n">
        <f aca="false">SUMIFS(Backlog!$M$2:$M$98,Backlog!$F$2:$F$98,"SP-03",Backlog!$B$2:$B$98,"Tenancy")</f>
        <v>0</v>
      </c>
      <c r="G9" s="34" t="n">
        <f aca="false">SUMIFS(Backlog!$M$2:$M$98,Backlog!$F$2:$F$98,"SP-03",Backlog!$B$2:$B$98,"Integration")</f>
        <v>0</v>
      </c>
      <c r="H9" s="34" t="n">
        <f aca="false">SUMIFS(Backlog!$M$2:$M$98,Backlog!$F$2:$F$98,"SP-03",Backlog!$B$2:$B$98,"—")</f>
        <v>0</v>
      </c>
      <c r="I9" s="35" t="n">
        <f aca="false">SUM(B9:H9)</f>
        <v>43</v>
      </c>
    </row>
    <row r="10" customFormat="false" ht="15" hidden="false" customHeight="false" outlineLevel="0" collapsed="false">
      <c r="A10" s="30" t="s">
        <v>169</v>
      </c>
      <c r="B10" s="31" t="n">
        <f aca="false">SUMIFS(Backlog!$M$2:$M$98,Backlog!$F$2:$F$98,"SP-04",Backlog!$B$2:$B$98,"Core")</f>
        <v>0</v>
      </c>
      <c r="C10" s="31" t="n">
        <f aca="false">SUMIFS(Backlog!$M$2:$M$98,Backlog!$F$2:$F$98,"SP-04",Backlog!$B$2:$B$98,"Identity")</f>
        <v>5</v>
      </c>
      <c r="D10" s="31" t="n">
        <f aca="false">SUMIFS(Backlog!$M$2:$M$98,Backlog!$F$2:$F$98,"SP-04",Backlog!$B$2:$B$98,"Access")</f>
        <v>0</v>
      </c>
      <c r="E10" s="31" t="n">
        <f aca="false">SUMIFS(Backlog!$M$2:$M$98,Backlog!$F$2:$F$98,"SP-04",Backlog!$B$2:$B$98,"Reference")</f>
        <v>0</v>
      </c>
      <c r="F10" s="31" t="n">
        <f aca="false">SUMIFS(Backlog!$M$2:$M$98,Backlog!$F$2:$F$98,"SP-04",Backlog!$B$2:$B$98,"Tenancy")</f>
        <v>86</v>
      </c>
      <c r="G10" s="31" t="n">
        <f aca="false">SUMIFS(Backlog!$M$2:$M$98,Backlog!$F$2:$F$98,"SP-04",Backlog!$B$2:$B$98,"Integration")</f>
        <v>0</v>
      </c>
      <c r="H10" s="31" t="n">
        <f aca="false">SUMIFS(Backlog!$M$2:$M$98,Backlog!$F$2:$F$98,"SP-04",Backlog!$B$2:$B$98,"—")</f>
        <v>3</v>
      </c>
      <c r="I10" s="32" t="n">
        <f aca="false">SUM(B10:H10)</f>
        <v>94</v>
      </c>
    </row>
    <row r="11" customFormat="false" ht="15" hidden="false" customHeight="false" outlineLevel="0" collapsed="false">
      <c r="A11" s="9" t="s">
        <v>736</v>
      </c>
      <c r="B11" s="36" t="n">
        <f aca="false">SUM(B6:B10)</f>
        <v>41</v>
      </c>
      <c r="C11" s="36" t="n">
        <f aca="false">SUM(C6:C10)</f>
        <v>70</v>
      </c>
      <c r="D11" s="36" t="n">
        <f aca="false">SUM(D6:D10)</f>
        <v>67</v>
      </c>
      <c r="E11" s="36" t="n">
        <f aca="false">SUM(E6:E10)</f>
        <v>43</v>
      </c>
      <c r="F11" s="36" t="n">
        <f aca="false">SUM(F6:F10)</f>
        <v>86</v>
      </c>
      <c r="G11" s="36" t="n">
        <f aca="false">SUM(G6:G10)</f>
        <v>16</v>
      </c>
      <c r="H11" s="36" t="n">
        <f aca="false">SUM(H6:H10)</f>
        <v>55</v>
      </c>
      <c r="I11" s="36" t="n">
        <f aca="false">SUM(I6:I10)</f>
        <v>378</v>
      </c>
    </row>
    <row r="14" customFormat="false" ht="15" hidden="false" customHeight="false" outlineLevel="0" collapsed="false">
      <c r="A14" s="26" t="s">
        <v>737</v>
      </c>
    </row>
    <row r="15" customFormat="false" ht="21.75" hidden="false" customHeight="true" outlineLevel="0" collapsed="false">
      <c r="A15" s="27"/>
      <c r="B15" s="28" t="s">
        <v>70</v>
      </c>
      <c r="C15" s="28" t="s">
        <v>75</v>
      </c>
      <c r="D15" s="28" t="s">
        <v>78</v>
      </c>
      <c r="E15" s="28" t="s">
        <v>81</v>
      </c>
      <c r="F15" s="28" t="s">
        <v>84</v>
      </c>
      <c r="G15" s="28" t="s">
        <v>87</v>
      </c>
      <c r="H15" s="28" t="s">
        <v>190</v>
      </c>
      <c r="I15" s="29" t="s">
        <v>736</v>
      </c>
    </row>
    <row r="16" customFormat="false" ht="15" hidden="false" customHeight="false" outlineLevel="0" collapsed="false">
      <c r="A16" s="30" t="s">
        <v>150</v>
      </c>
      <c r="B16" s="31" t="n">
        <f aca="false">COUNTIFS(Backlog!$F$2:$F$98,"SP-00",Backlog!$B$2:$B$98,"Core")</f>
        <v>11</v>
      </c>
      <c r="C16" s="31" t="n">
        <f aca="false">COUNTIFS(Backlog!$F$2:$F$98,"SP-00",Backlog!$B$2:$B$98,"Identity")</f>
        <v>0</v>
      </c>
      <c r="D16" s="31" t="n">
        <f aca="false">COUNTIFS(Backlog!$F$2:$F$98,"SP-00",Backlog!$B$2:$B$98,"Access")</f>
        <v>0</v>
      </c>
      <c r="E16" s="31" t="n">
        <f aca="false">COUNTIFS(Backlog!$F$2:$F$98,"SP-00",Backlog!$B$2:$B$98,"Reference")</f>
        <v>0</v>
      </c>
      <c r="F16" s="31" t="n">
        <f aca="false">COUNTIFS(Backlog!$F$2:$F$98,"SP-00",Backlog!$B$2:$B$98,"Tenancy")</f>
        <v>0</v>
      </c>
      <c r="G16" s="31" t="n">
        <f aca="false">COUNTIFS(Backlog!$F$2:$F$98,"SP-00",Backlog!$B$2:$B$98,"Integration")</f>
        <v>1</v>
      </c>
      <c r="H16" s="31" t="n">
        <f aca="false">COUNTIFS(Backlog!$F$2:$F$98,"SP-00",Backlog!$B$2:$B$98,"—")</f>
        <v>10</v>
      </c>
      <c r="I16" s="32" t="n">
        <f aca="false">SUM(B16:H16)</f>
        <v>22</v>
      </c>
    </row>
    <row r="17" customFormat="false" ht="15" hidden="false" customHeight="false" outlineLevel="0" collapsed="false">
      <c r="A17" s="33" t="s">
        <v>286</v>
      </c>
      <c r="B17" s="34" t="n">
        <f aca="false">COUNTIFS(Backlog!$F$2:$F$98,"SP-01",Backlog!$B$2:$B$98,"Core")</f>
        <v>0</v>
      </c>
      <c r="C17" s="34" t="n">
        <f aca="false">COUNTIFS(Backlog!$F$2:$F$98,"SP-01",Backlog!$B$2:$B$98,"Identity")</f>
        <v>17</v>
      </c>
      <c r="D17" s="34" t="n">
        <f aca="false">COUNTIFS(Backlog!$F$2:$F$98,"SP-01",Backlog!$B$2:$B$98,"Access")</f>
        <v>0</v>
      </c>
      <c r="E17" s="34" t="n">
        <f aca="false">COUNTIFS(Backlog!$F$2:$F$98,"SP-01",Backlog!$B$2:$B$98,"Reference")</f>
        <v>0</v>
      </c>
      <c r="F17" s="34" t="n">
        <f aca="false">COUNTIFS(Backlog!$F$2:$F$98,"SP-01",Backlog!$B$2:$B$98,"Tenancy")</f>
        <v>0</v>
      </c>
      <c r="G17" s="34" t="n">
        <f aca="false">COUNTIFS(Backlog!$F$2:$F$98,"SP-01",Backlog!$B$2:$B$98,"Integration")</f>
        <v>4</v>
      </c>
      <c r="H17" s="34" t="n">
        <f aca="false">COUNTIFS(Backlog!$F$2:$F$98,"SP-01",Backlog!$B$2:$B$98,"—")</f>
        <v>2</v>
      </c>
      <c r="I17" s="35" t="n">
        <f aca="false">SUM(B17:H17)</f>
        <v>23</v>
      </c>
    </row>
    <row r="18" customFormat="false" ht="15" hidden="false" customHeight="false" outlineLevel="0" collapsed="false">
      <c r="A18" s="30" t="s">
        <v>161</v>
      </c>
      <c r="B18" s="31" t="n">
        <f aca="false">COUNTIFS(Backlog!$F$2:$F$98,"SP-02",Backlog!$B$2:$B$98,"Core")</f>
        <v>0</v>
      </c>
      <c r="C18" s="31" t="n">
        <f aca="false">COUNTIFS(Backlog!$F$2:$F$98,"SP-02",Backlog!$B$2:$B$98,"Identity")</f>
        <v>0</v>
      </c>
      <c r="D18" s="31" t="n">
        <f aca="false">COUNTIFS(Backlog!$F$2:$F$98,"SP-02",Backlog!$B$2:$B$98,"Access")</f>
        <v>16</v>
      </c>
      <c r="E18" s="31" t="n">
        <f aca="false">COUNTIFS(Backlog!$F$2:$F$98,"SP-02",Backlog!$B$2:$B$98,"Reference")</f>
        <v>0</v>
      </c>
      <c r="F18" s="31" t="n">
        <f aca="false">COUNTIFS(Backlog!$F$2:$F$98,"SP-02",Backlog!$B$2:$B$98,"Tenancy")</f>
        <v>0</v>
      </c>
      <c r="G18" s="31" t="n">
        <f aca="false">COUNTIFS(Backlog!$F$2:$F$98,"SP-02",Backlog!$B$2:$B$98,"Integration")</f>
        <v>0</v>
      </c>
      <c r="H18" s="31" t="n">
        <f aca="false">COUNTIFS(Backlog!$F$2:$F$98,"SP-02",Backlog!$B$2:$B$98,"—")</f>
        <v>2</v>
      </c>
      <c r="I18" s="32" t="n">
        <f aca="false">SUM(B18:H18)</f>
        <v>18</v>
      </c>
    </row>
    <row r="19" customFormat="false" ht="15" hidden="false" customHeight="false" outlineLevel="0" collapsed="false">
      <c r="A19" s="33" t="s">
        <v>165</v>
      </c>
      <c r="B19" s="34" t="n">
        <f aca="false">COUNTIFS(Backlog!$F$2:$F$98,"SP-03",Backlog!$B$2:$B$98,"Core")</f>
        <v>0</v>
      </c>
      <c r="C19" s="34" t="n">
        <f aca="false">COUNTIFS(Backlog!$F$2:$F$98,"SP-03",Backlog!$B$2:$B$98,"Identity")</f>
        <v>0</v>
      </c>
      <c r="D19" s="34" t="n">
        <f aca="false">COUNTIFS(Backlog!$F$2:$F$98,"SP-03",Backlog!$B$2:$B$98,"Access")</f>
        <v>0</v>
      </c>
      <c r="E19" s="34" t="n">
        <f aca="false">COUNTIFS(Backlog!$F$2:$F$98,"SP-03",Backlog!$B$2:$B$98,"Reference")</f>
        <v>12</v>
      </c>
      <c r="F19" s="34" t="n">
        <f aca="false">COUNTIFS(Backlog!$F$2:$F$98,"SP-03",Backlog!$B$2:$B$98,"Tenancy")</f>
        <v>0</v>
      </c>
      <c r="G19" s="34" t="n">
        <f aca="false">COUNTIFS(Backlog!$F$2:$F$98,"SP-03",Backlog!$B$2:$B$98,"Integration")</f>
        <v>0</v>
      </c>
      <c r="H19" s="34" t="n">
        <f aca="false">COUNTIFS(Backlog!$F$2:$F$98,"SP-03",Backlog!$B$2:$B$98,"—")</f>
        <v>0</v>
      </c>
      <c r="I19" s="35" t="n">
        <f aca="false">SUM(B19:H19)</f>
        <v>12</v>
      </c>
    </row>
    <row r="20" customFormat="false" ht="15" hidden="false" customHeight="false" outlineLevel="0" collapsed="false">
      <c r="A20" s="30" t="s">
        <v>169</v>
      </c>
      <c r="B20" s="31" t="n">
        <f aca="false">COUNTIFS(Backlog!$F$2:$F$98,"SP-04",Backlog!$B$2:$B$98,"Core")</f>
        <v>0</v>
      </c>
      <c r="C20" s="31" t="n">
        <f aca="false">COUNTIFS(Backlog!$F$2:$F$98,"SP-04",Backlog!$B$2:$B$98,"Identity")</f>
        <v>1</v>
      </c>
      <c r="D20" s="31" t="n">
        <f aca="false">COUNTIFS(Backlog!$F$2:$F$98,"SP-04",Backlog!$B$2:$B$98,"Access")</f>
        <v>0</v>
      </c>
      <c r="E20" s="31" t="n">
        <f aca="false">COUNTIFS(Backlog!$F$2:$F$98,"SP-04",Backlog!$B$2:$B$98,"Reference")</f>
        <v>0</v>
      </c>
      <c r="F20" s="31" t="n">
        <f aca="false">COUNTIFS(Backlog!$F$2:$F$98,"SP-04",Backlog!$B$2:$B$98,"Tenancy")</f>
        <v>20</v>
      </c>
      <c r="G20" s="31" t="n">
        <f aca="false">COUNTIFS(Backlog!$F$2:$F$98,"SP-04",Backlog!$B$2:$B$98,"Integration")</f>
        <v>0</v>
      </c>
      <c r="H20" s="31" t="n">
        <f aca="false">COUNTIFS(Backlog!$F$2:$F$98,"SP-04",Backlog!$B$2:$B$98,"—")</f>
        <v>1</v>
      </c>
      <c r="I20" s="32" t="n">
        <f aca="false">SUM(B20:H20)</f>
        <v>22</v>
      </c>
    </row>
    <row r="21" customFormat="false" ht="15" hidden="false" customHeight="false" outlineLevel="0" collapsed="false">
      <c r="A21" s="9" t="s">
        <v>736</v>
      </c>
      <c r="B21" s="36" t="n">
        <f aca="false">SUM(B16:B20)</f>
        <v>11</v>
      </c>
      <c r="C21" s="36" t="n">
        <f aca="false">SUM(C16:C20)</f>
        <v>18</v>
      </c>
      <c r="D21" s="36" t="n">
        <f aca="false">SUM(D16:D20)</f>
        <v>16</v>
      </c>
      <c r="E21" s="36" t="n">
        <f aca="false">SUM(E16:E20)</f>
        <v>12</v>
      </c>
      <c r="F21" s="36" t="n">
        <f aca="false">SUM(F16:F20)</f>
        <v>20</v>
      </c>
      <c r="G21" s="36" t="n">
        <f aca="false">SUM(G16:G20)</f>
        <v>5</v>
      </c>
      <c r="H21" s="36" t="n">
        <f aca="false">SUM(H16:H20)</f>
        <v>15</v>
      </c>
      <c r="I21" s="36" t="n">
        <f aca="false">SUM(I16:I20)</f>
        <v>97</v>
      </c>
    </row>
    <row r="24" customFormat="false" ht="15" hidden="false" customHeight="false" outlineLevel="0" collapsed="false">
      <c r="A24" s="26" t="s">
        <v>738</v>
      </c>
    </row>
    <row r="25" customFormat="false" ht="23.85" hidden="false" customHeight="false" outlineLevel="0" collapsed="false">
      <c r="A25" s="37" t="s">
        <v>181</v>
      </c>
      <c r="B25" s="37" t="s">
        <v>739</v>
      </c>
      <c r="C25" s="37" t="s">
        <v>740</v>
      </c>
      <c r="D25" s="37" t="s">
        <v>741</v>
      </c>
    </row>
    <row r="26" customFormat="false" ht="21.75" hidden="false" customHeight="true" outlineLevel="0" collapsed="false">
      <c r="A26" s="38" t="s">
        <v>150</v>
      </c>
      <c r="B26" s="39" t="n">
        <v>10</v>
      </c>
      <c r="C26" s="39" t="n">
        <v>79</v>
      </c>
      <c r="D26" s="40" t="s">
        <v>742</v>
      </c>
    </row>
    <row r="27" customFormat="false" ht="21.75" hidden="false" customHeight="true" outlineLevel="0" collapsed="false">
      <c r="A27" s="41" t="s">
        <v>286</v>
      </c>
      <c r="B27" s="42" t="n">
        <v>54</v>
      </c>
      <c r="C27" s="42" t="n">
        <v>85</v>
      </c>
      <c r="D27" s="43" t="s">
        <v>743</v>
      </c>
    </row>
    <row r="28" customFormat="false" ht="21.75" hidden="false" customHeight="true" outlineLevel="0" collapsed="false">
      <c r="A28" s="38" t="s">
        <v>161</v>
      </c>
      <c r="B28" s="39" t="n">
        <v>15</v>
      </c>
      <c r="C28" s="39" t="n">
        <v>77</v>
      </c>
      <c r="D28" s="40" t="s">
        <v>744</v>
      </c>
    </row>
    <row r="29" customFormat="false" ht="21.75" hidden="false" customHeight="true" outlineLevel="0" collapsed="false">
      <c r="A29" s="41" t="s">
        <v>165</v>
      </c>
      <c r="B29" s="42" t="n">
        <v>15</v>
      </c>
      <c r="C29" s="42" t="n">
        <v>43</v>
      </c>
      <c r="D29" s="43" t="s">
        <v>745</v>
      </c>
    </row>
    <row r="30" customFormat="false" ht="21.75" hidden="false" customHeight="true" outlineLevel="0" collapsed="false">
      <c r="A30" s="38" t="s">
        <v>169</v>
      </c>
      <c r="B30" s="39" t="n">
        <v>25</v>
      </c>
      <c r="C30" s="39" t="n">
        <v>94</v>
      </c>
      <c r="D30" s="40" t="s">
        <v>746</v>
      </c>
    </row>
    <row r="33" customFormat="false" ht="42" hidden="false" customHeight="true" outlineLevel="0" collapsed="false">
      <c r="A33" s="0" t="s">
        <v>747</v>
      </c>
      <c r="B33" s="44" t="s">
        <v>748</v>
      </c>
      <c r="C33" s="44"/>
      <c r="D33" s="44"/>
      <c r="E33" s="44"/>
      <c r="F33" s="44"/>
      <c r="G33" s="44"/>
      <c r="H33" s="44"/>
    </row>
    <row r="34" customFormat="false" ht="27.75" hidden="false" customHeight="true" outlineLevel="0" collapsed="false">
      <c r="A34" s="0" t="s">
        <v>747</v>
      </c>
      <c r="B34" s="44" t="s">
        <v>749</v>
      </c>
      <c r="C34" s="44"/>
      <c r="D34" s="44"/>
      <c r="E34" s="44"/>
      <c r="F34" s="44"/>
      <c r="G34" s="44"/>
      <c r="H34" s="44"/>
    </row>
    <row r="35" customFormat="false" ht="27.75" hidden="false" customHeight="true" outlineLevel="0" collapsed="false">
      <c r="A35" s="0" t="s">
        <v>747</v>
      </c>
      <c r="B35" s="44" t="s">
        <v>750</v>
      </c>
      <c r="C35" s="44"/>
      <c r="D35" s="44"/>
      <c r="E35" s="44"/>
      <c r="F35" s="44"/>
      <c r="G35" s="44"/>
      <c r="H35" s="44"/>
    </row>
  </sheetData>
  <mergeCells count="4">
    <mergeCell ref="A2:H2"/>
    <mergeCell ref="B33:H33"/>
    <mergeCell ref="B34:H34"/>
    <mergeCell ref="B35:H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I1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2"/>
    <col collapsed="false" customWidth="true" hidden="false" outlineLevel="0" max="3" min="3" style="0" width="15"/>
    <col collapsed="false" customWidth="true" hidden="false" outlineLevel="0" max="4" min="4" style="0" width="13"/>
    <col collapsed="false" customWidth="true" hidden="false" outlineLevel="0" max="5" min="5" style="0" width="11"/>
    <col collapsed="false" customWidth="true" hidden="false" outlineLevel="0" max="6" min="6" style="0" width="42"/>
    <col collapsed="false" customWidth="true" hidden="false" outlineLevel="0" max="7" min="7" style="0" width="15"/>
    <col collapsed="false" customWidth="true" hidden="false" outlineLevel="0" max="9" min="8" style="0" width="13"/>
  </cols>
  <sheetData>
    <row r="1" customFormat="false" ht="30" hidden="false" customHeight="true" outlineLevel="0" collapsed="false">
      <c r="A1" s="10" t="s">
        <v>751</v>
      </c>
      <c r="B1" s="10" t="s">
        <v>752</v>
      </c>
      <c r="C1" s="10" t="s">
        <v>753</v>
      </c>
      <c r="D1" s="10" t="s">
        <v>754</v>
      </c>
      <c r="E1" s="10" t="s">
        <v>755</v>
      </c>
      <c r="F1" s="10" t="s">
        <v>756</v>
      </c>
      <c r="G1" s="10" t="s">
        <v>757</v>
      </c>
      <c r="H1" s="10" t="s">
        <v>758</v>
      </c>
      <c r="I1" s="10" t="s">
        <v>759</v>
      </c>
    </row>
    <row r="2" customFormat="false" ht="17.25" hidden="false" customHeight="true" outlineLevel="0" collapsed="false">
      <c r="A2" s="20" t="s">
        <v>401</v>
      </c>
      <c r="B2" s="15" t="s">
        <v>402</v>
      </c>
      <c r="C2" s="15" t="s">
        <v>78</v>
      </c>
      <c r="D2" s="16" t="s">
        <v>161</v>
      </c>
      <c r="E2" s="15" t="s">
        <v>406</v>
      </c>
      <c r="F2" s="15" t="s">
        <v>407</v>
      </c>
      <c r="G2" s="15" t="s">
        <v>78</v>
      </c>
      <c r="H2" s="16" t="s">
        <v>161</v>
      </c>
      <c r="I2" s="16" t="s">
        <v>92</v>
      </c>
    </row>
    <row r="3" customFormat="false" ht="17.25" hidden="false" customHeight="true" outlineLevel="0" collapsed="false">
      <c r="A3" s="21" t="s">
        <v>401</v>
      </c>
      <c r="B3" s="18" t="s">
        <v>402</v>
      </c>
      <c r="C3" s="18" t="s">
        <v>78</v>
      </c>
      <c r="D3" s="19" t="s">
        <v>161</v>
      </c>
      <c r="E3" s="18" t="s">
        <v>411</v>
      </c>
      <c r="F3" s="18" t="s">
        <v>412</v>
      </c>
      <c r="G3" s="18" t="s">
        <v>78</v>
      </c>
      <c r="H3" s="19" t="s">
        <v>161</v>
      </c>
      <c r="I3" s="19" t="s">
        <v>92</v>
      </c>
    </row>
    <row r="4" customFormat="false" ht="17.25" hidden="false" customHeight="true" outlineLevel="0" collapsed="false">
      <c r="A4" s="20" t="s">
        <v>401</v>
      </c>
      <c r="B4" s="15" t="s">
        <v>402</v>
      </c>
      <c r="C4" s="15" t="s">
        <v>78</v>
      </c>
      <c r="D4" s="16" t="s">
        <v>161</v>
      </c>
      <c r="E4" s="15" t="s">
        <v>448</v>
      </c>
      <c r="F4" s="15" t="s">
        <v>449</v>
      </c>
      <c r="G4" s="15" t="s">
        <v>78</v>
      </c>
      <c r="H4" s="16" t="s">
        <v>161</v>
      </c>
      <c r="I4" s="16" t="s">
        <v>92</v>
      </c>
    </row>
    <row r="5" customFormat="false" ht="17.25" hidden="false" customHeight="true" outlineLevel="0" collapsed="false">
      <c r="A5" s="21" t="s">
        <v>401</v>
      </c>
      <c r="B5" s="18" t="s">
        <v>402</v>
      </c>
      <c r="C5" s="18" t="s">
        <v>78</v>
      </c>
      <c r="D5" s="19" t="s">
        <v>161</v>
      </c>
      <c r="E5" s="18" t="s">
        <v>472</v>
      </c>
      <c r="F5" s="18" t="s">
        <v>473</v>
      </c>
      <c r="G5" s="18" t="s">
        <v>78</v>
      </c>
      <c r="H5" s="19" t="s">
        <v>161</v>
      </c>
      <c r="I5" s="19" t="s">
        <v>92</v>
      </c>
    </row>
    <row r="6" customFormat="false" ht="17.25" hidden="false" customHeight="true" outlineLevel="0" collapsed="false">
      <c r="A6" s="20" t="s">
        <v>411</v>
      </c>
      <c r="B6" s="15" t="s">
        <v>412</v>
      </c>
      <c r="C6" s="15" t="s">
        <v>78</v>
      </c>
      <c r="D6" s="16" t="s">
        <v>161</v>
      </c>
      <c r="E6" s="15" t="s">
        <v>417</v>
      </c>
      <c r="F6" s="15" t="s">
        <v>418</v>
      </c>
      <c r="G6" s="15" t="s">
        <v>78</v>
      </c>
      <c r="H6" s="16" t="s">
        <v>161</v>
      </c>
      <c r="I6" s="16" t="s">
        <v>92</v>
      </c>
    </row>
    <row r="7" customFormat="false" ht="17.25" hidden="false" customHeight="true" outlineLevel="0" collapsed="false">
      <c r="A7" s="21" t="s">
        <v>411</v>
      </c>
      <c r="B7" s="18" t="s">
        <v>412</v>
      </c>
      <c r="C7" s="18" t="s">
        <v>78</v>
      </c>
      <c r="D7" s="19" t="s">
        <v>161</v>
      </c>
      <c r="E7" s="18" t="s">
        <v>422</v>
      </c>
      <c r="F7" s="18" t="s">
        <v>423</v>
      </c>
      <c r="G7" s="18" t="s">
        <v>78</v>
      </c>
      <c r="H7" s="19" t="s">
        <v>161</v>
      </c>
      <c r="I7" s="19" t="s">
        <v>92</v>
      </c>
    </row>
    <row r="8" customFormat="false" ht="17.25" hidden="false" customHeight="true" outlineLevel="0" collapsed="false">
      <c r="A8" s="20" t="s">
        <v>411</v>
      </c>
      <c r="B8" s="15" t="s">
        <v>412</v>
      </c>
      <c r="C8" s="15" t="s">
        <v>78</v>
      </c>
      <c r="D8" s="16" t="s">
        <v>161</v>
      </c>
      <c r="E8" s="15" t="s">
        <v>427</v>
      </c>
      <c r="F8" s="15" t="s">
        <v>428</v>
      </c>
      <c r="G8" s="15" t="s">
        <v>78</v>
      </c>
      <c r="H8" s="16" t="s">
        <v>161</v>
      </c>
      <c r="I8" s="16" t="s">
        <v>92</v>
      </c>
    </row>
    <row r="9" customFormat="false" ht="17.25" hidden="false" customHeight="true" outlineLevel="0" collapsed="false">
      <c r="A9" s="21" t="s">
        <v>411</v>
      </c>
      <c r="B9" s="18" t="s">
        <v>412</v>
      </c>
      <c r="C9" s="18" t="s">
        <v>78</v>
      </c>
      <c r="D9" s="19" t="s">
        <v>161</v>
      </c>
      <c r="E9" s="18" t="s">
        <v>431</v>
      </c>
      <c r="F9" s="18" t="s">
        <v>432</v>
      </c>
      <c r="G9" s="18" t="s">
        <v>78</v>
      </c>
      <c r="H9" s="19" t="s">
        <v>161</v>
      </c>
      <c r="I9" s="19" t="s">
        <v>92</v>
      </c>
    </row>
    <row r="10" customFormat="false" ht="17.25" hidden="false" customHeight="true" outlineLevel="0" collapsed="false">
      <c r="A10" s="20" t="s">
        <v>411</v>
      </c>
      <c r="B10" s="15" t="s">
        <v>412</v>
      </c>
      <c r="C10" s="15" t="s">
        <v>78</v>
      </c>
      <c r="D10" s="16" t="s">
        <v>161</v>
      </c>
      <c r="E10" s="15" t="s">
        <v>439</v>
      </c>
      <c r="F10" s="15" t="s">
        <v>440</v>
      </c>
      <c r="G10" s="15" t="s">
        <v>78</v>
      </c>
      <c r="H10" s="16" t="s">
        <v>161</v>
      </c>
      <c r="I10" s="16" t="s">
        <v>92</v>
      </c>
    </row>
    <row r="11" customFormat="false" ht="17.25" hidden="false" customHeight="true" outlineLevel="0" collapsed="false">
      <c r="A11" s="21" t="s">
        <v>431</v>
      </c>
      <c r="B11" s="18" t="s">
        <v>432</v>
      </c>
      <c r="C11" s="18" t="s">
        <v>78</v>
      </c>
      <c r="D11" s="19" t="s">
        <v>161</v>
      </c>
      <c r="E11" s="18" t="s">
        <v>435</v>
      </c>
      <c r="F11" s="18" t="s">
        <v>436</v>
      </c>
      <c r="G11" s="18" t="s">
        <v>78</v>
      </c>
      <c r="H11" s="19" t="s">
        <v>161</v>
      </c>
      <c r="I11" s="19" t="s">
        <v>92</v>
      </c>
    </row>
    <row r="12" customFormat="false" ht="17.25" hidden="false" customHeight="true" outlineLevel="0" collapsed="false">
      <c r="A12" s="20" t="s">
        <v>431</v>
      </c>
      <c r="B12" s="15" t="s">
        <v>432</v>
      </c>
      <c r="C12" s="15" t="s">
        <v>78</v>
      </c>
      <c r="D12" s="16" t="s">
        <v>161</v>
      </c>
      <c r="E12" s="15" t="s">
        <v>467</v>
      </c>
      <c r="F12" s="15" t="s">
        <v>468</v>
      </c>
      <c r="G12" s="15" t="s">
        <v>78</v>
      </c>
      <c r="H12" s="16" t="s">
        <v>161</v>
      </c>
      <c r="I12" s="16" t="s">
        <v>92</v>
      </c>
    </row>
    <row r="13" customFormat="false" ht="17.25" hidden="false" customHeight="true" outlineLevel="0" collapsed="false">
      <c r="A13" s="21" t="s">
        <v>448</v>
      </c>
      <c r="B13" s="18" t="s">
        <v>449</v>
      </c>
      <c r="C13" s="18" t="s">
        <v>78</v>
      </c>
      <c r="D13" s="19" t="s">
        <v>161</v>
      </c>
      <c r="E13" s="18" t="s">
        <v>417</v>
      </c>
      <c r="F13" s="18" t="s">
        <v>418</v>
      </c>
      <c r="G13" s="18" t="s">
        <v>78</v>
      </c>
      <c r="H13" s="19" t="s">
        <v>161</v>
      </c>
      <c r="I13" s="19" t="s">
        <v>92</v>
      </c>
    </row>
    <row r="14" customFormat="false" ht="17.25" hidden="false" customHeight="true" outlineLevel="0" collapsed="false">
      <c r="A14" s="20" t="s">
        <v>457</v>
      </c>
      <c r="B14" s="15" t="s">
        <v>458</v>
      </c>
      <c r="C14" s="15" t="s">
        <v>78</v>
      </c>
      <c r="D14" s="16" t="s">
        <v>161</v>
      </c>
      <c r="E14" s="15" t="s">
        <v>462</v>
      </c>
      <c r="F14" s="15" t="s">
        <v>463</v>
      </c>
      <c r="G14" s="15" t="s">
        <v>78</v>
      </c>
      <c r="H14" s="16" t="s">
        <v>161</v>
      </c>
      <c r="I14" s="16" t="s">
        <v>92</v>
      </c>
    </row>
    <row r="15" customFormat="false" ht="17.25" hidden="false" customHeight="true" outlineLevel="0" collapsed="false">
      <c r="A15" s="21" t="s">
        <v>472</v>
      </c>
      <c r="B15" s="18" t="s">
        <v>473</v>
      </c>
      <c r="C15" s="18" t="s">
        <v>78</v>
      </c>
      <c r="D15" s="19" t="s">
        <v>161</v>
      </c>
      <c r="E15" s="18" t="s">
        <v>720</v>
      </c>
      <c r="F15" s="18" t="s">
        <v>721</v>
      </c>
      <c r="G15" s="18" t="s">
        <v>190</v>
      </c>
      <c r="H15" s="19" t="s">
        <v>161</v>
      </c>
      <c r="I15" s="23" t="s">
        <v>72</v>
      </c>
    </row>
    <row r="16" customFormat="false" ht="17.25" hidden="false" customHeight="true" outlineLevel="0" collapsed="false">
      <c r="A16" s="20" t="s">
        <v>472</v>
      </c>
      <c r="B16" s="15" t="s">
        <v>473</v>
      </c>
      <c r="C16" s="15" t="s">
        <v>78</v>
      </c>
      <c r="D16" s="16" t="s">
        <v>161</v>
      </c>
      <c r="E16" s="15" t="s">
        <v>728</v>
      </c>
      <c r="F16" s="15" t="s">
        <v>729</v>
      </c>
      <c r="G16" s="15" t="s">
        <v>190</v>
      </c>
      <c r="H16" s="16" t="s">
        <v>161</v>
      </c>
      <c r="I16" s="23" t="s">
        <v>72</v>
      </c>
    </row>
    <row r="17" customFormat="false" ht="17.25" hidden="false" customHeight="true" outlineLevel="0" collapsed="false">
      <c r="A17" s="21" t="s">
        <v>236</v>
      </c>
      <c r="B17" s="18" t="s">
        <v>242</v>
      </c>
      <c r="C17" s="18" t="s">
        <v>70</v>
      </c>
      <c r="D17" s="19" t="s">
        <v>150</v>
      </c>
      <c r="E17" s="18" t="s">
        <v>401</v>
      </c>
      <c r="F17" s="18" t="s">
        <v>402</v>
      </c>
      <c r="G17" s="18" t="s">
        <v>78</v>
      </c>
      <c r="H17" s="19" t="s">
        <v>161</v>
      </c>
      <c r="I17" s="23" t="s">
        <v>72</v>
      </c>
    </row>
    <row r="18" customFormat="false" ht="17.25" hidden="false" customHeight="true" outlineLevel="0" collapsed="false">
      <c r="A18" s="20" t="s">
        <v>236</v>
      </c>
      <c r="B18" s="15" t="s">
        <v>242</v>
      </c>
      <c r="C18" s="15" t="s">
        <v>70</v>
      </c>
      <c r="D18" s="16" t="s">
        <v>150</v>
      </c>
      <c r="E18" s="15" t="s">
        <v>245</v>
      </c>
      <c r="F18" s="15" t="s">
        <v>246</v>
      </c>
      <c r="G18" s="15" t="s">
        <v>70</v>
      </c>
      <c r="H18" s="16" t="s">
        <v>150</v>
      </c>
      <c r="I18" s="16" t="s">
        <v>92</v>
      </c>
    </row>
    <row r="19" customFormat="false" ht="17.25" hidden="false" customHeight="true" outlineLevel="0" collapsed="false">
      <c r="A19" s="21" t="s">
        <v>236</v>
      </c>
      <c r="B19" s="18" t="s">
        <v>242</v>
      </c>
      <c r="C19" s="18" t="s">
        <v>70</v>
      </c>
      <c r="D19" s="19" t="s">
        <v>150</v>
      </c>
      <c r="E19" s="18" t="s">
        <v>254</v>
      </c>
      <c r="F19" s="18" t="s">
        <v>255</v>
      </c>
      <c r="G19" s="18" t="s">
        <v>70</v>
      </c>
      <c r="H19" s="19" t="s">
        <v>150</v>
      </c>
      <c r="I19" s="19" t="s">
        <v>92</v>
      </c>
    </row>
    <row r="20" customFormat="false" ht="28.5" hidden="false" customHeight="true" outlineLevel="0" collapsed="false">
      <c r="A20" s="20" t="s">
        <v>236</v>
      </c>
      <c r="B20" s="15" t="s">
        <v>242</v>
      </c>
      <c r="C20" s="15" t="s">
        <v>70</v>
      </c>
      <c r="D20" s="16" t="s">
        <v>150</v>
      </c>
      <c r="E20" s="15" t="s">
        <v>276</v>
      </c>
      <c r="F20" s="15" t="s">
        <v>277</v>
      </c>
      <c r="G20" s="15" t="s">
        <v>70</v>
      </c>
      <c r="H20" s="16" t="s">
        <v>150</v>
      </c>
      <c r="I20" s="16" t="s">
        <v>92</v>
      </c>
    </row>
    <row r="21" customFormat="false" ht="17.25" hidden="false" customHeight="true" outlineLevel="0" collapsed="false">
      <c r="A21" s="21" t="s">
        <v>236</v>
      </c>
      <c r="B21" s="18" t="s">
        <v>242</v>
      </c>
      <c r="C21" s="18" t="s">
        <v>70</v>
      </c>
      <c r="D21" s="19" t="s">
        <v>150</v>
      </c>
      <c r="E21" s="18" t="s">
        <v>231</v>
      </c>
      <c r="F21" s="18" t="s">
        <v>232</v>
      </c>
      <c r="G21" s="18" t="s">
        <v>70</v>
      </c>
      <c r="H21" s="19" t="s">
        <v>150</v>
      </c>
      <c r="I21" s="19" t="s">
        <v>92</v>
      </c>
    </row>
    <row r="22" customFormat="false" ht="28.5" hidden="false" customHeight="true" outlineLevel="0" collapsed="false">
      <c r="A22" s="20" t="s">
        <v>236</v>
      </c>
      <c r="B22" s="15" t="s">
        <v>242</v>
      </c>
      <c r="C22" s="15" t="s">
        <v>70</v>
      </c>
      <c r="D22" s="16" t="s">
        <v>150</v>
      </c>
      <c r="E22" s="15" t="s">
        <v>716</v>
      </c>
      <c r="F22" s="15" t="s">
        <v>717</v>
      </c>
      <c r="G22" s="15" t="s">
        <v>190</v>
      </c>
      <c r="H22" s="16" t="s">
        <v>286</v>
      </c>
      <c r="I22" s="23" t="s">
        <v>72</v>
      </c>
    </row>
    <row r="23" customFormat="false" ht="17.25" hidden="false" customHeight="true" outlineLevel="0" collapsed="false">
      <c r="A23" s="21" t="s">
        <v>245</v>
      </c>
      <c r="B23" s="18" t="s">
        <v>246</v>
      </c>
      <c r="C23" s="18" t="s">
        <v>70</v>
      </c>
      <c r="D23" s="19" t="s">
        <v>150</v>
      </c>
      <c r="E23" s="18" t="s">
        <v>249</v>
      </c>
      <c r="F23" s="18" t="s">
        <v>250</v>
      </c>
      <c r="G23" s="18" t="s">
        <v>70</v>
      </c>
      <c r="H23" s="19" t="s">
        <v>150</v>
      </c>
      <c r="I23" s="19" t="s">
        <v>92</v>
      </c>
    </row>
    <row r="24" customFormat="false" ht="17.25" hidden="false" customHeight="true" outlineLevel="0" collapsed="false">
      <c r="A24" s="20" t="s">
        <v>245</v>
      </c>
      <c r="B24" s="15" t="s">
        <v>246</v>
      </c>
      <c r="C24" s="15" t="s">
        <v>70</v>
      </c>
      <c r="D24" s="16" t="s">
        <v>150</v>
      </c>
      <c r="E24" s="15" t="s">
        <v>272</v>
      </c>
      <c r="F24" s="15" t="s">
        <v>273</v>
      </c>
      <c r="G24" s="15" t="s">
        <v>70</v>
      </c>
      <c r="H24" s="16" t="s">
        <v>150</v>
      </c>
      <c r="I24" s="16" t="s">
        <v>92</v>
      </c>
    </row>
    <row r="25" customFormat="false" ht="17.25" hidden="false" customHeight="true" outlineLevel="0" collapsed="false">
      <c r="A25" s="21" t="s">
        <v>245</v>
      </c>
      <c r="B25" s="18" t="s">
        <v>246</v>
      </c>
      <c r="C25" s="18" t="s">
        <v>70</v>
      </c>
      <c r="D25" s="19" t="s">
        <v>150</v>
      </c>
      <c r="E25" s="18" t="s">
        <v>284</v>
      </c>
      <c r="F25" s="18" t="s">
        <v>285</v>
      </c>
      <c r="G25" s="18" t="s">
        <v>75</v>
      </c>
      <c r="H25" s="19" t="s">
        <v>286</v>
      </c>
      <c r="I25" s="23" t="s">
        <v>72</v>
      </c>
    </row>
    <row r="26" customFormat="false" ht="17.25" hidden="false" customHeight="true" outlineLevel="0" collapsed="false">
      <c r="A26" s="20" t="s">
        <v>249</v>
      </c>
      <c r="B26" s="15" t="s">
        <v>250</v>
      </c>
      <c r="C26" s="15" t="s">
        <v>70</v>
      </c>
      <c r="D26" s="16" t="s">
        <v>150</v>
      </c>
      <c r="E26" s="15" t="s">
        <v>545</v>
      </c>
      <c r="F26" s="15" t="s">
        <v>546</v>
      </c>
      <c r="G26" s="15" t="s">
        <v>81</v>
      </c>
      <c r="H26" s="16" t="s">
        <v>165</v>
      </c>
      <c r="I26" s="23" t="s">
        <v>72</v>
      </c>
    </row>
    <row r="27" customFormat="false" ht="17.25" hidden="false" customHeight="true" outlineLevel="0" collapsed="false">
      <c r="A27" s="21" t="s">
        <v>249</v>
      </c>
      <c r="B27" s="18" t="s">
        <v>250</v>
      </c>
      <c r="C27" s="18" t="s">
        <v>70</v>
      </c>
      <c r="D27" s="19" t="s">
        <v>150</v>
      </c>
      <c r="E27" s="18" t="s">
        <v>570</v>
      </c>
      <c r="F27" s="18" t="s">
        <v>571</v>
      </c>
      <c r="G27" s="18" t="s">
        <v>84</v>
      </c>
      <c r="H27" s="19" t="s">
        <v>169</v>
      </c>
      <c r="I27" s="23" t="s">
        <v>72</v>
      </c>
    </row>
    <row r="28" customFormat="false" ht="17.25" hidden="false" customHeight="true" outlineLevel="0" collapsed="false">
      <c r="A28" s="20" t="s">
        <v>254</v>
      </c>
      <c r="B28" s="15" t="s">
        <v>255</v>
      </c>
      <c r="C28" s="15" t="s">
        <v>70</v>
      </c>
      <c r="D28" s="16" t="s">
        <v>150</v>
      </c>
      <c r="E28" s="15" t="s">
        <v>457</v>
      </c>
      <c r="F28" s="15" t="s">
        <v>458</v>
      </c>
      <c r="G28" s="15" t="s">
        <v>78</v>
      </c>
      <c r="H28" s="16" t="s">
        <v>161</v>
      </c>
      <c r="I28" s="23" t="s">
        <v>72</v>
      </c>
    </row>
    <row r="29" customFormat="false" ht="17.25" hidden="false" customHeight="true" outlineLevel="0" collapsed="false">
      <c r="A29" s="21" t="s">
        <v>254</v>
      </c>
      <c r="B29" s="18" t="s">
        <v>255</v>
      </c>
      <c r="C29" s="18" t="s">
        <v>70</v>
      </c>
      <c r="D29" s="19" t="s">
        <v>150</v>
      </c>
      <c r="E29" s="18" t="s">
        <v>259</v>
      </c>
      <c r="F29" s="18" t="s">
        <v>260</v>
      </c>
      <c r="G29" s="18" t="s">
        <v>70</v>
      </c>
      <c r="H29" s="19" t="s">
        <v>150</v>
      </c>
      <c r="I29" s="19" t="s">
        <v>92</v>
      </c>
    </row>
    <row r="30" customFormat="false" ht="17.25" hidden="false" customHeight="true" outlineLevel="0" collapsed="false">
      <c r="A30" s="20" t="s">
        <v>254</v>
      </c>
      <c r="B30" s="15" t="s">
        <v>255</v>
      </c>
      <c r="C30" s="15" t="s">
        <v>70</v>
      </c>
      <c r="D30" s="16" t="s">
        <v>150</v>
      </c>
      <c r="E30" s="15" t="s">
        <v>268</v>
      </c>
      <c r="F30" s="15" t="s">
        <v>269</v>
      </c>
      <c r="G30" s="15" t="s">
        <v>70</v>
      </c>
      <c r="H30" s="16" t="s">
        <v>150</v>
      </c>
      <c r="I30" s="16" t="s">
        <v>92</v>
      </c>
    </row>
    <row r="31" customFormat="false" ht="28.5" hidden="false" customHeight="true" outlineLevel="0" collapsed="false">
      <c r="A31" s="21" t="s">
        <v>254</v>
      </c>
      <c r="B31" s="18" t="s">
        <v>255</v>
      </c>
      <c r="C31" s="18" t="s">
        <v>70</v>
      </c>
      <c r="D31" s="19" t="s">
        <v>150</v>
      </c>
      <c r="E31" s="18" t="s">
        <v>477</v>
      </c>
      <c r="F31" s="18" t="s">
        <v>478</v>
      </c>
      <c r="G31" s="18" t="s">
        <v>81</v>
      </c>
      <c r="H31" s="19" t="s">
        <v>165</v>
      </c>
      <c r="I31" s="23" t="s">
        <v>72</v>
      </c>
    </row>
    <row r="32" customFormat="false" ht="17.25" hidden="false" customHeight="true" outlineLevel="0" collapsed="false">
      <c r="A32" s="20" t="s">
        <v>254</v>
      </c>
      <c r="B32" s="15" t="s">
        <v>255</v>
      </c>
      <c r="C32" s="15" t="s">
        <v>70</v>
      </c>
      <c r="D32" s="16" t="s">
        <v>150</v>
      </c>
      <c r="E32" s="15" t="s">
        <v>551</v>
      </c>
      <c r="F32" s="15" t="s">
        <v>552</v>
      </c>
      <c r="G32" s="15" t="s">
        <v>81</v>
      </c>
      <c r="H32" s="16" t="s">
        <v>165</v>
      </c>
      <c r="I32" s="23" t="s">
        <v>72</v>
      </c>
    </row>
    <row r="33" customFormat="false" ht="17.25" hidden="false" customHeight="true" outlineLevel="0" collapsed="false">
      <c r="A33" s="21" t="s">
        <v>259</v>
      </c>
      <c r="B33" s="18" t="s">
        <v>260</v>
      </c>
      <c r="C33" s="18" t="s">
        <v>70</v>
      </c>
      <c r="D33" s="19" t="s">
        <v>150</v>
      </c>
      <c r="E33" s="18" t="s">
        <v>411</v>
      </c>
      <c r="F33" s="18" t="s">
        <v>412</v>
      </c>
      <c r="G33" s="18" t="s">
        <v>78</v>
      </c>
      <c r="H33" s="19" t="s">
        <v>161</v>
      </c>
      <c r="I33" s="23" t="s">
        <v>72</v>
      </c>
    </row>
    <row r="34" customFormat="false" ht="17.25" hidden="false" customHeight="true" outlineLevel="0" collapsed="false">
      <c r="A34" s="20" t="s">
        <v>259</v>
      </c>
      <c r="B34" s="15" t="s">
        <v>260</v>
      </c>
      <c r="C34" s="15" t="s">
        <v>70</v>
      </c>
      <c r="D34" s="16" t="s">
        <v>150</v>
      </c>
      <c r="E34" s="15" t="s">
        <v>422</v>
      </c>
      <c r="F34" s="15" t="s">
        <v>423</v>
      </c>
      <c r="G34" s="15" t="s">
        <v>78</v>
      </c>
      <c r="H34" s="16" t="s">
        <v>161</v>
      </c>
      <c r="I34" s="23" t="s">
        <v>72</v>
      </c>
    </row>
    <row r="35" customFormat="false" ht="17.25" hidden="false" customHeight="true" outlineLevel="0" collapsed="false">
      <c r="A35" s="21" t="s">
        <v>259</v>
      </c>
      <c r="B35" s="18" t="s">
        <v>260</v>
      </c>
      <c r="C35" s="18" t="s">
        <v>70</v>
      </c>
      <c r="D35" s="19" t="s">
        <v>150</v>
      </c>
      <c r="E35" s="18" t="s">
        <v>443</v>
      </c>
      <c r="F35" s="18" t="s">
        <v>444</v>
      </c>
      <c r="G35" s="18" t="s">
        <v>78</v>
      </c>
      <c r="H35" s="19" t="s">
        <v>161</v>
      </c>
      <c r="I35" s="23" t="s">
        <v>72</v>
      </c>
    </row>
    <row r="36" customFormat="false" ht="17.25" hidden="false" customHeight="true" outlineLevel="0" collapsed="false">
      <c r="A36" s="20" t="s">
        <v>259</v>
      </c>
      <c r="B36" s="15" t="s">
        <v>260</v>
      </c>
      <c r="C36" s="15" t="s">
        <v>70</v>
      </c>
      <c r="D36" s="16" t="s">
        <v>150</v>
      </c>
      <c r="E36" s="15" t="s">
        <v>453</v>
      </c>
      <c r="F36" s="15" t="s">
        <v>454</v>
      </c>
      <c r="G36" s="15" t="s">
        <v>78</v>
      </c>
      <c r="H36" s="16" t="s">
        <v>161</v>
      </c>
      <c r="I36" s="23" t="s">
        <v>72</v>
      </c>
    </row>
    <row r="37" customFormat="false" ht="17.25" hidden="false" customHeight="true" outlineLevel="0" collapsed="false">
      <c r="A37" s="21" t="s">
        <v>259</v>
      </c>
      <c r="B37" s="18" t="s">
        <v>260</v>
      </c>
      <c r="C37" s="18" t="s">
        <v>70</v>
      </c>
      <c r="D37" s="19" t="s">
        <v>150</v>
      </c>
      <c r="E37" s="18" t="s">
        <v>648</v>
      </c>
      <c r="F37" s="18" t="s">
        <v>649</v>
      </c>
      <c r="G37" s="18" t="s">
        <v>84</v>
      </c>
      <c r="H37" s="19" t="s">
        <v>169</v>
      </c>
      <c r="I37" s="23" t="s">
        <v>72</v>
      </c>
    </row>
    <row r="38" customFormat="false" ht="17.25" hidden="false" customHeight="true" outlineLevel="0" collapsed="false">
      <c r="A38" s="20" t="s">
        <v>264</v>
      </c>
      <c r="B38" s="15" t="s">
        <v>265</v>
      </c>
      <c r="C38" s="15" t="s">
        <v>70</v>
      </c>
      <c r="D38" s="16" t="s">
        <v>150</v>
      </c>
      <c r="E38" s="15" t="s">
        <v>525</v>
      </c>
      <c r="F38" s="15" t="s">
        <v>526</v>
      </c>
      <c r="G38" s="15" t="s">
        <v>81</v>
      </c>
      <c r="H38" s="16" t="s">
        <v>165</v>
      </c>
      <c r="I38" s="23" t="s">
        <v>72</v>
      </c>
    </row>
    <row r="39" customFormat="false" ht="28.5" hidden="false" customHeight="true" outlineLevel="0" collapsed="false">
      <c r="A39" s="21" t="s">
        <v>268</v>
      </c>
      <c r="B39" s="18" t="s">
        <v>269</v>
      </c>
      <c r="C39" s="18" t="s">
        <v>70</v>
      </c>
      <c r="D39" s="19" t="s">
        <v>150</v>
      </c>
      <c r="E39" s="18" t="s">
        <v>556</v>
      </c>
      <c r="F39" s="18" t="s">
        <v>557</v>
      </c>
      <c r="G39" s="18" t="s">
        <v>84</v>
      </c>
      <c r="H39" s="19" t="s">
        <v>169</v>
      </c>
      <c r="I39" s="23" t="s">
        <v>72</v>
      </c>
    </row>
    <row r="40" customFormat="false" ht="17.25" hidden="false" customHeight="true" outlineLevel="0" collapsed="false">
      <c r="A40" s="20" t="s">
        <v>272</v>
      </c>
      <c r="B40" s="15" t="s">
        <v>273</v>
      </c>
      <c r="C40" s="15" t="s">
        <v>70</v>
      </c>
      <c r="D40" s="16" t="s">
        <v>150</v>
      </c>
      <c r="E40" s="15" t="s">
        <v>290</v>
      </c>
      <c r="F40" s="15" t="s">
        <v>291</v>
      </c>
      <c r="G40" s="15" t="s">
        <v>75</v>
      </c>
      <c r="H40" s="16" t="s">
        <v>286</v>
      </c>
      <c r="I40" s="23" t="s">
        <v>72</v>
      </c>
    </row>
    <row r="41" customFormat="false" ht="17.25" hidden="false" customHeight="true" outlineLevel="0" collapsed="false">
      <c r="A41" s="21" t="s">
        <v>272</v>
      </c>
      <c r="B41" s="18" t="s">
        <v>273</v>
      </c>
      <c r="C41" s="18" t="s">
        <v>70</v>
      </c>
      <c r="D41" s="19" t="s">
        <v>150</v>
      </c>
      <c r="E41" s="18" t="s">
        <v>728</v>
      </c>
      <c r="F41" s="18" t="s">
        <v>729</v>
      </c>
      <c r="G41" s="18" t="s">
        <v>190</v>
      </c>
      <c r="H41" s="19" t="s">
        <v>161</v>
      </c>
      <c r="I41" s="23" t="s">
        <v>72</v>
      </c>
    </row>
    <row r="42" customFormat="false" ht="28.5" hidden="false" customHeight="true" outlineLevel="0" collapsed="false">
      <c r="A42" s="20" t="s">
        <v>276</v>
      </c>
      <c r="B42" s="15" t="s">
        <v>277</v>
      </c>
      <c r="C42" s="15" t="s">
        <v>70</v>
      </c>
      <c r="D42" s="16" t="s">
        <v>150</v>
      </c>
      <c r="E42" s="15" t="s">
        <v>406</v>
      </c>
      <c r="F42" s="15" t="s">
        <v>407</v>
      </c>
      <c r="G42" s="15" t="s">
        <v>78</v>
      </c>
      <c r="H42" s="16" t="s">
        <v>161</v>
      </c>
      <c r="I42" s="23" t="s">
        <v>72</v>
      </c>
    </row>
    <row r="43" customFormat="false" ht="28.5" hidden="false" customHeight="true" outlineLevel="0" collapsed="false">
      <c r="A43" s="21" t="s">
        <v>276</v>
      </c>
      <c r="B43" s="18" t="s">
        <v>277</v>
      </c>
      <c r="C43" s="18" t="s">
        <v>70</v>
      </c>
      <c r="D43" s="19" t="s">
        <v>150</v>
      </c>
      <c r="E43" s="18" t="s">
        <v>457</v>
      </c>
      <c r="F43" s="18" t="s">
        <v>458</v>
      </c>
      <c r="G43" s="18" t="s">
        <v>78</v>
      </c>
      <c r="H43" s="19" t="s">
        <v>161</v>
      </c>
      <c r="I43" s="23" t="s">
        <v>72</v>
      </c>
    </row>
    <row r="44" customFormat="false" ht="28.5" hidden="false" customHeight="true" outlineLevel="0" collapsed="false">
      <c r="A44" s="20" t="s">
        <v>276</v>
      </c>
      <c r="B44" s="15" t="s">
        <v>277</v>
      </c>
      <c r="C44" s="15" t="s">
        <v>70</v>
      </c>
      <c r="D44" s="16" t="s">
        <v>150</v>
      </c>
      <c r="E44" s="15" t="s">
        <v>655</v>
      </c>
      <c r="F44" s="15" t="s">
        <v>656</v>
      </c>
      <c r="G44" s="15" t="s">
        <v>84</v>
      </c>
      <c r="H44" s="16" t="s">
        <v>169</v>
      </c>
      <c r="I44" s="23" t="s">
        <v>72</v>
      </c>
    </row>
    <row r="45" customFormat="false" ht="17.25" hidden="false" customHeight="true" outlineLevel="0" collapsed="false">
      <c r="A45" s="21" t="s">
        <v>280</v>
      </c>
      <c r="B45" s="18" t="s">
        <v>281</v>
      </c>
      <c r="C45" s="18" t="s">
        <v>70</v>
      </c>
      <c r="D45" s="19" t="s">
        <v>150</v>
      </c>
      <c r="E45" s="18" t="s">
        <v>462</v>
      </c>
      <c r="F45" s="18" t="s">
        <v>463</v>
      </c>
      <c r="G45" s="18" t="s">
        <v>78</v>
      </c>
      <c r="H45" s="19" t="s">
        <v>161</v>
      </c>
      <c r="I45" s="23" t="s">
        <v>72</v>
      </c>
    </row>
    <row r="46" customFormat="false" ht="17.25" hidden="false" customHeight="true" outlineLevel="0" collapsed="false">
      <c r="A46" s="20" t="s">
        <v>280</v>
      </c>
      <c r="B46" s="15" t="s">
        <v>281</v>
      </c>
      <c r="C46" s="15" t="s">
        <v>70</v>
      </c>
      <c r="D46" s="16" t="s">
        <v>150</v>
      </c>
      <c r="E46" s="15" t="s">
        <v>578</v>
      </c>
      <c r="F46" s="15" t="s">
        <v>579</v>
      </c>
      <c r="G46" s="15" t="s">
        <v>84</v>
      </c>
      <c r="H46" s="16" t="s">
        <v>169</v>
      </c>
      <c r="I46" s="23" t="s">
        <v>72</v>
      </c>
    </row>
    <row r="47" customFormat="false" ht="17.25" hidden="false" customHeight="true" outlineLevel="0" collapsed="false">
      <c r="A47" s="21" t="s">
        <v>280</v>
      </c>
      <c r="B47" s="18" t="s">
        <v>281</v>
      </c>
      <c r="C47" s="18" t="s">
        <v>70</v>
      </c>
      <c r="D47" s="19" t="s">
        <v>150</v>
      </c>
      <c r="E47" s="18" t="s">
        <v>641</v>
      </c>
      <c r="F47" s="18" t="s">
        <v>642</v>
      </c>
      <c r="G47" s="18" t="s">
        <v>84</v>
      </c>
      <c r="H47" s="19" t="s">
        <v>169</v>
      </c>
      <c r="I47" s="23" t="s">
        <v>72</v>
      </c>
    </row>
    <row r="48" customFormat="false" ht="28.5" hidden="false" customHeight="true" outlineLevel="0" collapsed="false">
      <c r="A48" s="20" t="s">
        <v>189</v>
      </c>
      <c r="B48" s="15" t="s">
        <v>192</v>
      </c>
      <c r="C48" s="15" t="s">
        <v>190</v>
      </c>
      <c r="D48" s="16" t="s">
        <v>150</v>
      </c>
      <c r="E48" s="15" t="s">
        <v>199</v>
      </c>
      <c r="F48" s="15" t="s">
        <v>200</v>
      </c>
      <c r="G48" s="15" t="s">
        <v>190</v>
      </c>
      <c r="H48" s="16" t="s">
        <v>150</v>
      </c>
      <c r="I48" s="16" t="s">
        <v>92</v>
      </c>
    </row>
    <row r="49" customFormat="false" ht="28.5" hidden="false" customHeight="true" outlineLevel="0" collapsed="false">
      <c r="A49" s="21" t="s">
        <v>189</v>
      </c>
      <c r="B49" s="18" t="s">
        <v>192</v>
      </c>
      <c r="C49" s="18" t="s">
        <v>190</v>
      </c>
      <c r="D49" s="19" t="s">
        <v>150</v>
      </c>
      <c r="E49" s="18" t="s">
        <v>218</v>
      </c>
      <c r="F49" s="18" t="s">
        <v>219</v>
      </c>
      <c r="G49" s="18" t="s">
        <v>190</v>
      </c>
      <c r="H49" s="19" t="s">
        <v>150</v>
      </c>
      <c r="I49" s="19" t="s">
        <v>92</v>
      </c>
    </row>
    <row r="50" customFormat="false" ht="28.5" hidden="false" customHeight="true" outlineLevel="0" collapsed="false">
      <c r="A50" s="20" t="s">
        <v>189</v>
      </c>
      <c r="B50" s="15" t="s">
        <v>192</v>
      </c>
      <c r="C50" s="15" t="s">
        <v>190</v>
      </c>
      <c r="D50" s="16" t="s">
        <v>150</v>
      </c>
      <c r="E50" s="15" t="s">
        <v>222</v>
      </c>
      <c r="F50" s="15" t="s">
        <v>223</v>
      </c>
      <c r="G50" s="15" t="s">
        <v>190</v>
      </c>
      <c r="H50" s="16" t="s">
        <v>150</v>
      </c>
      <c r="I50" s="16" t="s">
        <v>92</v>
      </c>
    </row>
    <row r="51" customFormat="false" ht="28.5" hidden="false" customHeight="true" outlineLevel="0" collapsed="false">
      <c r="A51" s="21" t="s">
        <v>189</v>
      </c>
      <c r="B51" s="18" t="s">
        <v>192</v>
      </c>
      <c r="C51" s="18" t="s">
        <v>190</v>
      </c>
      <c r="D51" s="19" t="s">
        <v>150</v>
      </c>
      <c r="E51" s="18" t="s">
        <v>226</v>
      </c>
      <c r="F51" s="18" t="s">
        <v>227</v>
      </c>
      <c r="G51" s="18" t="s">
        <v>190</v>
      </c>
      <c r="H51" s="19" t="s">
        <v>150</v>
      </c>
      <c r="I51" s="19" t="s">
        <v>92</v>
      </c>
    </row>
    <row r="52" customFormat="false" ht="28.5" hidden="false" customHeight="true" outlineLevel="0" collapsed="false">
      <c r="A52" s="20" t="s">
        <v>189</v>
      </c>
      <c r="B52" s="15" t="s">
        <v>192</v>
      </c>
      <c r="C52" s="15" t="s">
        <v>190</v>
      </c>
      <c r="D52" s="16" t="s">
        <v>150</v>
      </c>
      <c r="E52" s="15" t="s">
        <v>238</v>
      </c>
      <c r="F52" s="15" t="s">
        <v>239</v>
      </c>
      <c r="G52" s="15" t="s">
        <v>190</v>
      </c>
      <c r="H52" s="16" t="s">
        <v>150</v>
      </c>
      <c r="I52" s="16" t="s">
        <v>92</v>
      </c>
    </row>
    <row r="53" customFormat="false" ht="28.5" hidden="false" customHeight="true" outlineLevel="0" collapsed="false">
      <c r="A53" s="21" t="s">
        <v>189</v>
      </c>
      <c r="B53" s="18" t="s">
        <v>192</v>
      </c>
      <c r="C53" s="18" t="s">
        <v>190</v>
      </c>
      <c r="D53" s="19" t="s">
        <v>150</v>
      </c>
      <c r="E53" s="18" t="s">
        <v>694</v>
      </c>
      <c r="F53" s="18" t="s">
        <v>695</v>
      </c>
      <c r="G53" s="18" t="s">
        <v>87</v>
      </c>
      <c r="H53" s="19" t="s">
        <v>286</v>
      </c>
      <c r="I53" s="23" t="s">
        <v>72</v>
      </c>
    </row>
    <row r="54" customFormat="false" ht="28.5" hidden="false" customHeight="true" outlineLevel="0" collapsed="false">
      <c r="A54" s="20" t="s">
        <v>199</v>
      </c>
      <c r="B54" s="15" t="s">
        <v>200</v>
      </c>
      <c r="C54" s="15" t="s">
        <v>190</v>
      </c>
      <c r="D54" s="16" t="s">
        <v>150</v>
      </c>
      <c r="E54" s="15" t="s">
        <v>236</v>
      </c>
      <c r="F54" s="15" t="s">
        <v>242</v>
      </c>
      <c r="G54" s="15" t="s">
        <v>70</v>
      </c>
      <c r="H54" s="16" t="s">
        <v>150</v>
      </c>
      <c r="I54" s="23" t="s">
        <v>72</v>
      </c>
    </row>
    <row r="55" customFormat="false" ht="28.5" hidden="false" customHeight="true" outlineLevel="0" collapsed="false">
      <c r="A55" s="21" t="s">
        <v>199</v>
      </c>
      <c r="B55" s="18" t="s">
        <v>200</v>
      </c>
      <c r="C55" s="18" t="s">
        <v>190</v>
      </c>
      <c r="D55" s="19" t="s">
        <v>150</v>
      </c>
      <c r="E55" s="18" t="s">
        <v>204</v>
      </c>
      <c r="F55" s="18" t="s">
        <v>205</v>
      </c>
      <c r="G55" s="18" t="s">
        <v>190</v>
      </c>
      <c r="H55" s="19" t="s">
        <v>150</v>
      </c>
      <c r="I55" s="19" t="s">
        <v>92</v>
      </c>
    </row>
    <row r="56" customFormat="false" ht="28.5" hidden="false" customHeight="true" outlineLevel="0" collapsed="false">
      <c r="A56" s="20" t="s">
        <v>199</v>
      </c>
      <c r="B56" s="15" t="s">
        <v>200</v>
      </c>
      <c r="C56" s="15" t="s">
        <v>190</v>
      </c>
      <c r="D56" s="16" t="s">
        <v>150</v>
      </c>
      <c r="E56" s="15" t="s">
        <v>209</v>
      </c>
      <c r="F56" s="15" t="s">
        <v>210</v>
      </c>
      <c r="G56" s="15" t="s">
        <v>190</v>
      </c>
      <c r="H56" s="16" t="s">
        <v>150</v>
      </c>
      <c r="I56" s="16" t="s">
        <v>92</v>
      </c>
    </row>
    <row r="57" customFormat="false" ht="28.5" hidden="false" customHeight="true" outlineLevel="0" collapsed="false">
      <c r="A57" s="21" t="s">
        <v>199</v>
      </c>
      <c r="B57" s="18" t="s">
        <v>200</v>
      </c>
      <c r="C57" s="18" t="s">
        <v>190</v>
      </c>
      <c r="D57" s="19" t="s">
        <v>150</v>
      </c>
      <c r="E57" s="18" t="s">
        <v>213</v>
      </c>
      <c r="F57" s="18" t="s">
        <v>214</v>
      </c>
      <c r="G57" s="18" t="s">
        <v>190</v>
      </c>
      <c r="H57" s="19" t="s">
        <v>150</v>
      </c>
      <c r="I57" s="19" t="s">
        <v>92</v>
      </c>
    </row>
    <row r="58" customFormat="false" ht="17.25" hidden="false" customHeight="true" outlineLevel="0" collapsed="false">
      <c r="A58" s="20" t="s">
        <v>209</v>
      </c>
      <c r="B58" s="15" t="s">
        <v>210</v>
      </c>
      <c r="C58" s="15" t="s">
        <v>190</v>
      </c>
      <c r="D58" s="16" t="s">
        <v>150</v>
      </c>
      <c r="E58" s="15" t="s">
        <v>264</v>
      </c>
      <c r="F58" s="15" t="s">
        <v>265</v>
      </c>
      <c r="G58" s="15" t="s">
        <v>70</v>
      </c>
      <c r="H58" s="16" t="s">
        <v>150</v>
      </c>
      <c r="I58" s="23" t="s">
        <v>72</v>
      </c>
    </row>
    <row r="59" customFormat="false" ht="17.25" hidden="false" customHeight="true" outlineLevel="0" collapsed="false">
      <c r="A59" s="21" t="s">
        <v>209</v>
      </c>
      <c r="B59" s="18" t="s">
        <v>210</v>
      </c>
      <c r="C59" s="18" t="s">
        <v>190</v>
      </c>
      <c r="D59" s="19" t="s">
        <v>150</v>
      </c>
      <c r="E59" s="18" t="s">
        <v>707</v>
      </c>
      <c r="F59" s="18" t="s">
        <v>709</v>
      </c>
      <c r="G59" s="18" t="s">
        <v>190</v>
      </c>
      <c r="H59" s="19" t="s">
        <v>150</v>
      </c>
      <c r="I59" s="19" t="s">
        <v>92</v>
      </c>
    </row>
    <row r="60" customFormat="false" ht="17.25" hidden="false" customHeight="true" outlineLevel="0" collapsed="false">
      <c r="A60" s="20" t="s">
        <v>222</v>
      </c>
      <c r="B60" s="15" t="s">
        <v>223</v>
      </c>
      <c r="C60" s="15" t="s">
        <v>190</v>
      </c>
      <c r="D60" s="16" t="s">
        <v>150</v>
      </c>
      <c r="E60" s="15" t="s">
        <v>280</v>
      </c>
      <c r="F60" s="15" t="s">
        <v>281</v>
      </c>
      <c r="G60" s="15" t="s">
        <v>70</v>
      </c>
      <c r="H60" s="16" t="s">
        <v>150</v>
      </c>
      <c r="I60" s="23" t="s">
        <v>72</v>
      </c>
    </row>
    <row r="61" customFormat="false" ht="17.25" hidden="false" customHeight="true" outlineLevel="0" collapsed="false">
      <c r="A61" s="21" t="s">
        <v>222</v>
      </c>
      <c r="B61" s="18" t="s">
        <v>223</v>
      </c>
      <c r="C61" s="18" t="s">
        <v>190</v>
      </c>
      <c r="D61" s="19" t="s">
        <v>150</v>
      </c>
      <c r="E61" s="18" t="s">
        <v>685</v>
      </c>
      <c r="F61" s="18" t="s">
        <v>686</v>
      </c>
      <c r="G61" s="18" t="s">
        <v>87</v>
      </c>
      <c r="H61" s="19" t="s">
        <v>286</v>
      </c>
      <c r="I61" s="23" t="s">
        <v>72</v>
      </c>
    </row>
    <row r="62" customFormat="false" ht="17.25" hidden="false" customHeight="true" outlineLevel="0" collapsed="false">
      <c r="A62" s="20" t="s">
        <v>226</v>
      </c>
      <c r="B62" s="15" t="s">
        <v>227</v>
      </c>
      <c r="C62" s="15" t="s">
        <v>190</v>
      </c>
      <c r="D62" s="16" t="s">
        <v>150</v>
      </c>
      <c r="E62" s="15" t="s">
        <v>698</v>
      </c>
      <c r="F62" s="15" t="s">
        <v>699</v>
      </c>
      <c r="G62" s="15" t="s">
        <v>87</v>
      </c>
      <c r="H62" s="16" t="s">
        <v>150</v>
      </c>
      <c r="I62" s="23" t="s">
        <v>72</v>
      </c>
    </row>
    <row r="63" customFormat="false" ht="17.25" hidden="false" customHeight="true" outlineLevel="0" collapsed="false">
      <c r="A63" s="21" t="s">
        <v>284</v>
      </c>
      <c r="B63" s="18" t="s">
        <v>285</v>
      </c>
      <c r="C63" s="18" t="s">
        <v>75</v>
      </c>
      <c r="D63" s="19" t="s">
        <v>286</v>
      </c>
      <c r="E63" s="18" t="s">
        <v>290</v>
      </c>
      <c r="F63" s="18" t="s">
        <v>291</v>
      </c>
      <c r="G63" s="18" t="s">
        <v>75</v>
      </c>
      <c r="H63" s="19" t="s">
        <v>286</v>
      </c>
      <c r="I63" s="19" t="s">
        <v>92</v>
      </c>
    </row>
    <row r="64" customFormat="false" ht="17.25" hidden="false" customHeight="true" outlineLevel="0" collapsed="false">
      <c r="A64" s="20" t="s">
        <v>284</v>
      </c>
      <c r="B64" s="15" t="s">
        <v>285</v>
      </c>
      <c r="C64" s="15" t="s">
        <v>75</v>
      </c>
      <c r="D64" s="16" t="s">
        <v>286</v>
      </c>
      <c r="E64" s="15" t="s">
        <v>352</v>
      </c>
      <c r="F64" s="15" t="s">
        <v>353</v>
      </c>
      <c r="G64" s="15" t="s">
        <v>75</v>
      </c>
      <c r="H64" s="16" t="s">
        <v>286</v>
      </c>
      <c r="I64" s="16" t="s">
        <v>92</v>
      </c>
    </row>
    <row r="65" customFormat="false" ht="17.25" hidden="false" customHeight="true" outlineLevel="0" collapsed="false">
      <c r="A65" s="21" t="s">
        <v>284</v>
      </c>
      <c r="B65" s="18" t="s">
        <v>285</v>
      </c>
      <c r="C65" s="18" t="s">
        <v>75</v>
      </c>
      <c r="D65" s="19" t="s">
        <v>286</v>
      </c>
      <c r="E65" s="18" t="s">
        <v>359</v>
      </c>
      <c r="F65" s="18" t="s">
        <v>360</v>
      </c>
      <c r="G65" s="18" t="s">
        <v>75</v>
      </c>
      <c r="H65" s="19" t="s">
        <v>286</v>
      </c>
      <c r="I65" s="19" t="s">
        <v>92</v>
      </c>
    </row>
    <row r="66" customFormat="false" ht="17.25" hidden="false" customHeight="true" outlineLevel="0" collapsed="false">
      <c r="A66" s="20" t="s">
        <v>284</v>
      </c>
      <c r="B66" s="15" t="s">
        <v>285</v>
      </c>
      <c r="C66" s="15" t="s">
        <v>75</v>
      </c>
      <c r="D66" s="16" t="s">
        <v>286</v>
      </c>
      <c r="E66" s="15" t="s">
        <v>397</v>
      </c>
      <c r="F66" s="15" t="s">
        <v>398</v>
      </c>
      <c r="G66" s="15" t="s">
        <v>75</v>
      </c>
      <c r="H66" s="16" t="s">
        <v>286</v>
      </c>
      <c r="I66" s="16" t="s">
        <v>92</v>
      </c>
    </row>
    <row r="67" customFormat="false" ht="17.25" hidden="false" customHeight="true" outlineLevel="0" collapsed="false">
      <c r="A67" s="21" t="s">
        <v>290</v>
      </c>
      <c r="B67" s="18" t="s">
        <v>291</v>
      </c>
      <c r="C67" s="18" t="s">
        <v>75</v>
      </c>
      <c r="D67" s="19" t="s">
        <v>286</v>
      </c>
      <c r="E67" s="18" t="s">
        <v>296</v>
      </c>
      <c r="F67" s="18" t="s">
        <v>297</v>
      </c>
      <c r="G67" s="18" t="s">
        <v>75</v>
      </c>
      <c r="H67" s="19" t="s">
        <v>286</v>
      </c>
      <c r="I67" s="19" t="s">
        <v>92</v>
      </c>
    </row>
    <row r="68" customFormat="false" ht="17.25" hidden="false" customHeight="true" outlineLevel="0" collapsed="false">
      <c r="A68" s="20" t="s">
        <v>290</v>
      </c>
      <c r="B68" s="15" t="s">
        <v>291</v>
      </c>
      <c r="C68" s="15" t="s">
        <v>75</v>
      </c>
      <c r="D68" s="16" t="s">
        <v>286</v>
      </c>
      <c r="E68" s="15" t="s">
        <v>344</v>
      </c>
      <c r="F68" s="15" t="s">
        <v>345</v>
      </c>
      <c r="G68" s="15" t="s">
        <v>75</v>
      </c>
      <c r="H68" s="16" t="s">
        <v>286</v>
      </c>
      <c r="I68" s="16" t="s">
        <v>92</v>
      </c>
    </row>
    <row r="69" customFormat="false" ht="17.25" hidden="false" customHeight="true" outlineLevel="0" collapsed="false">
      <c r="A69" s="21" t="s">
        <v>296</v>
      </c>
      <c r="B69" s="18" t="s">
        <v>297</v>
      </c>
      <c r="C69" s="18" t="s">
        <v>75</v>
      </c>
      <c r="D69" s="19" t="s">
        <v>286</v>
      </c>
      <c r="E69" s="18" t="s">
        <v>303</v>
      </c>
      <c r="F69" s="18" t="s">
        <v>304</v>
      </c>
      <c r="G69" s="18" t="s">
        <v>75</v>
      </c>
      <c r="H69" s="19" t="s">
        <v>286</v>
      </c>
      <c r="I69" s="19" t="s">
        <v>92</v>
      </c>
    </row>
    <row r="70" customFormat="false" ht="17.25" hidden="false" customHeight="true" outlineLevel="0" collapsed="false">
      <c r="A70" s="20" t="s">
        <v>296</v>
      </c>
      <c r="B70" s="15" t="s">
        <v>297</v>
      </c>
      <c r="C70" s="15" t="s">
        <v>75</v>
      </c>
      <c r="D70" s="16" t="s">
        <v>286</v>
      </c>
      <c r="E70" s="15" t="s">
        <v>310</v>
      </c>
      <c r="F70" s="15" t="s">
        <v>311</v>
      </c>
      <c r="G70" s="15" t="s">
        <v>75</v>
      </c>
      <c r="H70" s="16" t="s">
        <v>286</v>
      </c>
      <c r="I70" s="16" t="s">
        <v>92</v>
      </c>
    </row>
    <row r="71" customFormat="false" ht="17.25" hidden="false" customHeight="true" outlineLevel="0" collapsed="false">
      <c r="A71" s="21" t="s">
        <v>303</v>
      </c>
      <c r="B71" s="18" t="s">
        <v>304</v>
      </c>
      <c r="C71" s="18" t="s">
        <v>75</v>
      </c>
      <c r="D71" s="19" t="s">
        <v>286</v>
      </c>
      <c r="E71" s="18" t="s">
        <v>316</v>
      </c>
      <c r="F71" s="18" t="s">
        <v>317</v>
      </c>
      <c r="G71" s="18" t="s">
        <v>75</v>
      </c>
      <c r="H71" s="19" t="s">
        <v>286</v>
      </c>
      <c r="I71" s="19" t="s">
        <v>92</v>
      </c>
    </row>
    <row r="72" customFormat="false" ht="17.25" hidden="false" customHeight="true" outlineLevel="0" collapsed="false">
      <c r="A72" s="20" t="s">
        <v>303</v>
      </c>
      <c r="B72" s="15" t="s">
        <v>304</v>
      </c>
      <c r="C72" s="15" t="s">
        <v>75</v>
      </c>
      <c r="D72" s="16" t="s">
        <v>286</v>
      </c>
      <c r="E72" s="15" t="s">
        <v>324</v>
      </c>
      <c r="F72" s="15" t="s">
        <v>325</v>
      </c>
      <c r="G72" s="15" t="s">
        <v>75</v>
      </c>
      <c r="H72" s="16" t="s">
        <v>169</v>
      </c>
      <c r="I72" s="16" t="s">
        <v>92</v>
      </c>
    </row>
    <row r="73" customFormat="false" ht="17.25" hidden="false" customHeight="true" outlineLevel="0" collapsed="false">
      <c r="A73" s="21" t="s">
        <v>303</v>
      </c>
      <c r="B73" s="18" t="s">
        <v>304</v>
      </c>
      <c r="C73" s="18" t="s">
        <v>75</v>
      </c>
      <c r="D73" s="19" t="s">
        <v>286</v>
      </c>
      <c r="E73" s="18" t="s">
        <v>332</v>
      </c>
      <c r="F73" s="18" t="s">
        <v>333</v>
      </c>
      <c r="G73" s="18" t="s">
        <v>75</v>
      </c>
      <c r="H73" s="19" t="s">
        <v>286</v>
      </c>
      <c r="I73" s="19" t="s">
        <v>92</v>
      </c>
    </row>
    <row r="74" customFormat="false" ht="17.25" hidden="false" customHeight="true" outlineLevel="0" collapsed="false">
      <c r="A74" s="20" t="s">
        <v>303</v>
      </c>
      <c r="B74" s="15" t="s">
        <v>304</v>
      </c>
      <c r="C74" s="15" t="s">
        <v>75</v>
      </c>
      <c r="D74" s="16" t="s">
        <v>286</v>
      </c>
      <c r="E74" s="15" t="s">
        <v>338</v>
      </c>
      <c r="F74" s="15" t="s">
        <v>339</v>
      </c>
      <c r="G74" s="15" t="s">
        <v>75</v>
      </c>
      <c r="H74" s="16" t="s">
        <v>286</v>
      </c>
      <c r="I74" s="16" t="s">
        <v>92</v>
      </c>
    </row>
    <row r="75" customFormat="false" ht="17.25" hidden="false" customHeight="true" outlineLevel="0" collapsed="false">
      <c r="A75" s="21" t="s">
        <v>303</v>
      </c>
      <c r="B75" s="18" t="s">
        <v>304</v>
      </c>
      <c r="C75" s="18" t="s">
        <v>75</v>
      </c>
      <c r="D75" s="19" t="s">
        <v>286</v>
      </c>
      <c r="E75" s="18" t="s">
        <v>724</v>
      </c>
      <c r="F75" s="18" t="s">
        <v>725</v>
      </c>
      <c r="G75" s="18" t="s">
        <v>190</v>
      </c>
      <c r="H75" s="19" t="s">
        <v>286</v>
      </c>
      <c r="I75" s="23" t="s">
        <v>72</v>
      </c>
    </row>
    <row r="76" customFormat="false" ht="17.25" hidden="false" customHeight="true" outlineLevel="0" collapsed="false">
      <c r="A76" s="20" t="s">
        <v>359</v>
      </c>
      <c r="B76" s="15" t="s">
        <v>360</v>
      </c>
      <c r="C76" s="15" t="s">
        <v>75</v>
      </c>
      <c r="D76" s="16" t="s">
        <v>286</v>
      </c>
      <c r="E76" s="15" t="s">
        <v>366</v>
      </c>
      <c r="F76" s="15" t="s">
        <v>367</v>
      </c>
      <c r="G76" s="15" t="s">
        <v>75</v>
      </c>
      <c r="H76" s="16" t="s">
        <v>286</v>
      </c>
      <c r="I76" s="16" t="s">
        <v>92</v>
      </c>
    </row>
    <row r="77" customFormat="false" ht="17.25" hidden="false" customHeight="true" outlineLevel="0" collapsed="false">
      <c r="A77" s="21" t="s">
        <v>359</v>
      </c>
      <c r="B77" s="18" t="s">
        <v>360</v>
      </c>
      <c r="C77" s="18" t="s">
        <v>75</v>
      </c>
      <c r="D77" s="19" t="s">
        <v>286</v>
      </c>
      <c r="E77" s="18" t="s">
        <v>372</v>
      </c>
      <c r="F77" s="18" t="s">
        <v>373</v>
      </c>
      <c r="G77" s="18" t="s">
        <v>75</v>
      </c>
      <c r="H77" s="19" t="s">
        <v>286</v>
      </c>
      <c r="I77" s="19" t="s">
        <v>92</v>
      </c>
    </row>
    <row r="78" customFormat="false" ht="17.25" hidden="false" customHeight="true" outlineLevel="0" collapsed="false">
      <c r="A78" s="20" t="s">
        <v>359</v>
      </c>
      <c r="B78" s="15" t="s">
        <v>360</v>
      </c>
      <c r="C78" s="15" t="s">
        <v>75</v>
      </c>
      <c r="D78" s="16" t="s">
        <v>286</v>
      </c>
      <c r="E78" s="15" t="s">
        <v>379</v>
      </c>
      <c r="F78" s="15" t="s">
        <v>380</v>
      </c>
      <c r="G78" s="15" t="s">
        <v>75</v>
      </c>
      <c r="H78" s="16" t="s">
        <v>286</v>
      </c>
      <c r="I78" s="16" t="s">
        <v>92</v>
      </c>
    </row>
    <row r="79" customFormat="false" ht="17.25" hidden="false" customHeight="true" outlineLevel="0" collapsed="false">
      <c r="A79" s="21" t="s">
        <v>359</v>
      </c>
      <c r="B79" s="18" t="s">
        <v>360</v>
      </c>
      <c r="C79" s="18" t="s">
        <v>75</v>
      </c>
      <c r="D79" s="19" t="s">
        <v>286</v>
      </c>
      <c r="E79" s="18" t="s">
        <v>385</v>
      </c>
      <c r="F79" s="18" t="s">
        <v>386</v>
      </c>
      <c r="G79" s="18" t="s">
        <v>75</v>
      </c>
      <c r="H79" s="19" t="s">
        <v>286</v>
      </c>
      <c r="I79" s="19" t="s">
        <v>92</v>
      </c>
    </row>
    <row r="80" customFormat="false" ht="17.25" hidden="false" customHeight="true" outlineLevel="0" collapsed="false">
      <c r="A80" s="20" t="s">
        <v>359</v>
      </c>
      <c r="B80" s="15" t="s">
        <v>360</v>
      </c>
      <c r="C80" s="15" t="s">
        <v>75</v>
      </c>
      <c r="D80" s="16" t="s">
        <v>286</v>
      </c>
      <c r="E80" s="15" t="s">
        <v>391</v>
      </c>
      <c r="F80" s="15" t="s">
        <v>392</v>
      </c>
      <c r="G80" s="15" t="s">
        <v>75</v>
      </c>
      <c r="H80" s="16" t="s">
        <v>286</v>
      </c>
      <c r="I80" s="16" t="s">
        <v>92</v>
      </c>
    </row>
    <row r="81" customFormat="false" ht="17.25" hidden="false" customHeight="true" outlineLevel="0" collapsed="false">
      <c r="A81" s="21" t="s">
        <v>379</v>
      </c>
      <c r="B81" s="18" t="s">
        <v>380</v>
      </c>
      <c r="C81" s="18" t="s">
        <v>75</v>
      </c>
      <c r="D81" s="19" t="s">
        <v>286</v>
      </c>
      <c r="E81" s="18" t="s">
        <v>648</v>
      </c>
      <c r="F81" s="18" t="s">
        <v>649</v>
      </c>
      <c r="G81" s="18" t="s">
        <v>84</v>
      </c>
      <c r="H81" s="19" t="s">
        <v>169</v>
      </c>
      <c r="I81" s="23" t="s">
        <v>72</v>
      </c>
    </row>
    <row r="82" customFormat="false" ht="17.25" hidden="false" customHeight="true" outlineLevel="0" collapsed="false">
      <c r="A82" s="20" t="s">
        <v>391</v>
      </c>
      <c r="B82" s="15" t="s">
        <v>392</v>
      </c>
      <c r="C82" s="15" t="s">
        <v>75</v>
      </c>
      <c r="D82" s="16" t="s">
        <v>286</v>
      </c>
      <c r="E82" s="15" t="s">
        <v>592</v>
      </c>
      <c r="F82" s="15" t="s">
        <v>593</v>
      </c>
      <c r="G82" s="15" t="s">
        <v>84</v>
      </c>
      <c r="H82" s="16" t="s">
        <v>169</v>
      </c>
      <c r="I82" s="23" t="s">
        <v>72</v>
      </c>
    </row>
    <row r="83" customFormat="false" ht="17.25" hidden="false" customHeight="true" outlineLevel="0" collapsed="false">
      <c r="A83" s="21" t="s">
        <v>391</v>
      </c>
      <c r="B83" s="18" t="s">
        <v>392</v>
      </c>
      <c r="C83" s="18" t="s">
        <v>75</v>
      </c>
      <c r="D83" s="19" t="s">
        <v>286</v>
      </c>
      <c r="E83" s="18" t="s">
        <v>641</v>
      </c>
      <c r="F83" s="18" t="s">
        <v>642</v>
      </c>
      <c r="G83" s="18" t="s">
        <v>84</v>
      </c>
      <c r="H83" s="19" t="s">
        <v>169</v>
      </c>
      <c r="I83" s="23" t="s">
        <v>72</v>
      </c>
    </row>
    <row r="84" customFormat="false" ht="28.5" hidden="false" customHeight="true" outlineLevel="0" collapsed="false">
      <c r="A84" s="20" t="s">
        <v>477</v>
      </c>
      <c r="B84" s="15" t="s">
        <v>478</v>
      </c>
      <c r="C84" s="15" t="s">
        <v>81</v>
      </c>
      <c r="D84" s="16" t="s">
        <v>165</v>
      </c>
      <c r="E84" s="15" t="s">
        <v>482</v>
      </c>
      <c r="F84" s="15" t="s">
        <v>483</v>
      </c>
      <c r="G84" s="15" t="s">
        <v>81</v>
      </c>
      <c r="H84" s="16" t="s">
        <v>165</v>
      </c>
      <c r="I84" s="16" t="s">
        <v>92</v>
      </c>
    </row>
    <row r="85" customFormat="false" ht="28.5" hidden="false" customHeight="true" outlineLevel="0" collapsed="false">
      <c r="A85" s="21" t="s">
        <v>477</v>
      </c>
      <c r="B85" s="18" t="s">
        <v>478</v>
      </c>
      <c r="C85" s="18" t="s">
        <v>81</v>
      </c>
      <c r="D85" s="19" t="s">
        <v>165</v>
      </c>
      <c r="E85" s="18" t="s">
        <v>496</v>
      </c>
      <c r="F85" s="18" t="s">
        <v>497</v>
      </c>
      <c r="G85" s="18" t="s">
        <v>81</v>
      </c>
      <c r="H85" s="19" t="s">
        <v>165</v>
      </c>
      <c r="I85" s="19" t="s">
        <v>92</v>
      </c>
    </row>
    <row r="86" customFormat="false" ht="28.5" hidden="false" customHeight="true" outlineLevel="0" collapsed="false">
      <c r="A86" s="20" t="s">
        <v>477</v>
      </c>
      <c r="B86" s="15" t="s">
        <v>478</v>
      </c>
      <c r="C86" s="15" t="s">
        <v>81</v>
      </c>
      <c r="D86" s="16" t="s">
        <v>165</v>
      </c>
      <c r="E86" s="15" t="s">
        <v>503</v>
      </c>
      <c r="F86" s="15" t="s">
        <v>504</v>
      </c>
      <c r="G86" s="15" t="s">
        <v>81</v>
      </c>
      <c r="H86" s="16" t="s">
        <v>165</v>
      </c>
      <c r="I86" s="16" t="s">
        <v>92</v>
      </c>
    </row>
    <row r="87" customFormat="false" ht="28.5" hidden="false" customHeight="true" outlineLevel="0" collapsed="false">
      <c r="A87" s="21" t="s">
        <v>477</v>
      </c>
      <c r="B87" s="18" t="s">
        <v>478</v>
      </c>
      <c r="C87" s="18" t="s">
        <v>81</v>
      </c>
      <c r="D87" s="19" t="s">
        <v>165</v>
      </c>
      <c r="E87" s="18" t="s">
        <v>510</v>
      </c>
      <c r="F87" s="18" t="s">
        <v>511</v>
      </c>
      <c r="G87" s="18" t="s">
        <v>81</v>
      </c>
      <c r="H87" s="19" t="s">
        <v>165</v>
      </c>
      <c r="I87" s="19" t="s">
        <v>92</v>
      </c>
    </row>
    <row r="88" customFormat="false" ht="28.5" hidden="false" customHeight="true" outlineLevel="0" collapsed="false">
      <c r="A88" s="20" t="s">
        <v>477</v>
      </c>
      <c r="B88" s="15" t="s">
        <v>478</v>
      </c>
      <c r="C88" s="15" t="s">
        <v>81</v>
      </c>
      <c r="D88" s="16" t="s">
        <v>165</v>
      </c>
      <c r="E88" s="15" t="s">
        <v>517</v>
      </c>
      <c r="F88" s="15" t="s">
        <v>518</v>
      </c>
      <c r="G88" s="15" t="s">
        <v>81</v>
      </c>
      <c r="H88" s="16" t="s">
        <v>165</v>
      </c>
      <c r="I88" s="16" t="s">
        <v>92</v>
      </c>
    </row>
    <row r="89" customFormat="false" ht="28.5" hidden="false" customHeight="true" outlineLevel="0" collapsed="false">
      <c r="A89" s="21" t="s">
        <v>477</v>
      </c>
      <c r="B89" s="18" t="s">
        <v>478</v>
      </c>
      <c r="C89" s="18" t="s">
        <v>81</v>
      </c>
      <c r="D89" s="19" t="s">
        <v>165</v>
      </c>
      <c r="E89" s="18" t="s">
        <v>525</v>
      </c>
      <c r="F89" s="18" t="s">
        <v>526</v>
      </c>
      <c r="G89" s="18" t="s">
        <v>81</v>
      </c>
      <c r="H89" s="19" t="s">
        <v>165</v>
      </c>
      <c r="I89" s="19" t="s">
        <v>92</v>
      </c>
    </row>
    <row r="90" customFormat="false" ht="28.5" hidden="false" customHeight="true" outlineLevel="0" collapsed="false">
      <c r="A90" s="20" t="s">
        <v>477</v>
      </c>
      <c r="B90" s="15" t="s">
        <v>478</v>
      </c>
      <c r="C90" s="15" t="s">
        <v>81</v>
      </c>
      <c r="D90" s="16" t="s">
        <v>165</v>
      </c>
      <c r="E90" s="15" t="s">
        <v>545</v>
      </c>
      <c r="F90" s="15" t="s">
        <v>546</v>
      </c>
      <c r="G90" s="15" t="s">
        <v>81</v>
      </c>
      <c r="H90" s="16" t="s">
        <v>165</v>
      </c>
      <c r="I90" s="16" t="s">
        <v>92</v>
      </c>
    </row>
    <row r="91" customFormat="false" ht="28.5" hidden="false" customHeight="true" outlineLevel="0" collapsed="false">
      <c r="A91" s="21" t="s">
        <v>477</v>
      </c>
      <c r="B91" s="18" t="s">
        <v>478</v>
      </c>
      <c r="C91" s="18" t="s">
        <v>81</v>
      </c>
      <c r="D91" s="19" t="s">
        <v>165</v>
      </c>
      <c r="E91" s="18" t="s">
        <v>551</v>
      </c>
      <c r="F91" s="18" t="s">
        <v>552</v>
      </c>
      <c r="G91" s="18" t="s">
        <v>81</v>
      </c>
      <c r="H91" s="19" t="s">
        <v>165</v>
      </c>
      <c r="I91" s="19" t="s">
        <v>92</v>
      </c>
    </row>
    <row r="92" customFormat="false" ht="17.25" hidden="false" customHeight="true" outlineLevel="0" collapsed="false">
      <c r="A92" s="20" t="s">
        <v>482</v>
      </c>
      <c r="B92" s="15" t="s">
        <v>483</v>
      </c>
      <c r="C92" s="15" t="s">
        <v>81</v>
      </c>
      <c r="D92" s="16" t="s">
        <v>165</v>
      </c>
      <c r="E92" s="15" t="s">
        <v>316</v>
      </c>
      <c r="F92" s="15" t="s">
        <v>317</v>
      </c>
      <c r="G92" s="15" t="s">
        <v>75</v>
      </c>
      <c r="H92" s="16" t="s">
        <v>286</v>
      </c>
      <c r="I92" s="23" t="s">
        <v>72</v>
      </c>
    </row>
    <row r="93" customFormat="false" ht="17.25" hidden="false" customHeight="true" outlineLevel="0" collapsed="false">
      <c r="A93" s="21" t="s">
        <v>482</v>
      </c>
      <c r="B93" s="18" t="s">
        <v>483</v>
      </c>
      <c r="C93" s="18" t="s">
        <v>81</v>
      </c>
      <c r="D93" s="19" t="s">
        <v>165</v>
      </c>
      <c r="E93" s="18" t="s">
        <v>489</v>
      </c>
      <c r="F93" s="18" t="s">
        <v>490</v>
      </c>
      <c r="G93" s="18" t="s">
        <v>81</v>
      </c>
      <c r="H93" s="19" t="s">
        <v>165</v>
      </c>
      <c r="I93" s="19" t="s">
        <v>92</v>
      </c>
    </row>
    <row r="94" customFormat="false" ht="17.25" hidden="false" customHeight="true" outlineLevel="0" collapsed="false">
      <c r="A94" s="20" t="s">
        <v>482</v>
      </c>
      <c r="B94" s="15" t="s">
        <v>483</v>
      </c>
      <c r="C94" s="15" t="s">
        <v>81</v>
      </c>
      <c r="D94" s="16" t="s">
        <v>165</v>
      </c>
      <c r="E94" s="15" t="s">
        <v>538</v>
      </c>
      <c r="F94" s="15" t="s">
        <v>539</v>
      </c>
      <c r="G94" s="15" t="s">
        <v>81</v>
      </c>
      <c r="H94" s="16" t="s">
        <v>165</v>
      </c>
      <c r="I94" s="16" t="s">
        <v>92</v>
      </c>
    </row>
    <row r="95" customFormat="false" ht="17.25" hidden="false" customHeight="true" outlineLevel="0" collapsed="false">
      <c r="A95" s="21" t="s">
        <v>489</v>
      </c>
      <c r="B95" s="18" t="s">
        <v>490</v>
      </c>
      <c r="C95" s="18" t="s">
        <v>81</v>
      </c>
      <c r="D95" s="19" t="s">
        <v>165</v>
      </c>
      <c r="E95" s="18" t="s">
        <v>316</v>
      </c>
      <c r="F95" s="18" t="s">
        <v>317</v>
      </c>
      <c r="G95" s="18" t="s">
        <v>75</v>
      </c>
      <c r="H95" s="19" t="s">
        <v>286</v>
      </c>
      <c r="I95" s="23" t="s">
        <v>72</v>
      </c>
    </row>
    <row r="96" customFormat="false" ht="17.25" hidden="false" customHeight="true" outlineLevel="0" collapsed="false">
      <c r="A96" s="20" t="s">
        <v>489</v>
      </c>
      <c r="B96" s="15" t="s">
        <v>490</v>
      </c>
      <c r="C96" s="15" t="s">
        <v>81</v>
      </c>
      <c r="D96" s="16" t="s">
        <v>165</v>
      </c>
      <c r="E96" s="15" t="s">
        <v>538</v>
      </c>
      <c r="F96" s="15" t="s">
        <v>539</v>
      </c>
      <c r="G96" s="15" t="s">
        <v>81</v>
      </c>
      <c r="H96" s="16" t="s">
        <v>165</v>
      </c>
      <c r="I96" s="16" t="s">
        <v>92</v>
      </c>
    </row>
    <row r="97" customFormat="false" ht="17.25" hidden="false" customHeight="true" outlineLevel="0" collapsed="false">
      <c r="A97" s="21" t="s">
        <v>489</v>
      </c>
      <c r="B97" s="18" t="s">
        <v>490</v>
      </c>
      <c r="C97" s="18" t="s">
        <v>81</v>
      </c>
      <c r="D97" s="19" t="s">
        <v>165</v>
      </c>
      <c r="E97" s="18" t="s">
        <v>599</v>
      </c>
      <c r="F97" s="18" t="s">
        <v>600</v>
      </c>
      <c r="G97" s="18" t="s">
        <v>84</v>
      </c>
      <c r="H97" s="19" t="s">
        <v>169</v>
      </c>
      <c r="I97" s="23" t="s">
        <v>72</v>
      </c>
    </row>
    <row r="98" customFormat="false" ht="17.25" hidden="false" customHeight="true" outlineLevel="0" collapsed="false">
      <c r="A98" s="20" t="s">
        <v>496</v>
      </c>
      <c r="B98" s="15" t="s">
        <v>497</v>
      </c>
      <c r="C98" s="15" t="s">
        <v>81</v>
      </c>
      <c r="D98" s="16" t="s">
        <v>165</v>
      </c>
      <c r="E98" s="15" t="s">
        <v>538</v>
      </c>
      <c r="F98" s="15" t="s">
        <v>539</v>
      </c>
      <c r="G98" s="15" t="s">
        <v>81</v>
      </c>
      <c r="H98" s="16" t="s">
        <v>165</v>
      </c>
      <c r="I98" s="16" t="s">
        <v>92</v>
      </c>
    </row>
    <row r="99" customFormat="false" ht="17.25" hidden="false" customHeight="true" outlineLevel="0" collapsed="false">
      <c r="A99" s="21" t="s">
        <v>503</v>
      </c>
      <c r="B99" s="18" t="s">
        <v>504</v>
      </c>
      <c r="C99" s="18" t="s">
        <v>81</v>
      </c>
      <c r="D99" s="19" t="s">
        <v>165</v>
      </c>
      <c r="E99" s="18" t="s">
        <v>538</v>
      </c>
      <c r="F99" s="18" t="s">
        <v>539</v>
      </c>
      <c r="G99" s="18" t="s">
        <v>81</v>
      </c>
      <c r="H99" s="19" t="s">
        <v>165</v>
      </c>
      <c r="I99" s="19" t="s">
        <v>92</v>
      </c>
    </row>
    <row r="100" customFormat="false" ht="17.25" hidden="false" customHeight="true" outlineLevel="0" collapsed="false">
      <c r="A100" s="20" t="s">
        <v>517</v>
      </c>
      <c r="B100" s="15" t="s">
        <v>518</v>
      </c>
      <c r="C100" s="15" t="s">
        <v>81</v>
      </c>
      <c r="D100" s="16" t="s">
        <v>165</v>
      </c>
      <c r="E100" s="15" t="s">
        <v>538</v>
      </c>
      <c r="F100" s="15" t="s">
        <v>539</v>
      </c>
      <c r="G100" s="15" t="s">
        <v>81</v>
      </c>
      <c r="H100" s="16" t="s">
        <v>165</v>
      </c>
      <c r="I100" s="16" t="s">
        <v>92</v>
      </c>
    </row>
    <row r="101" customFormat="false" ht="17.25" hidden="false" customHeight="true" outlineLevel="0" collapsed="false">
      <c r="A101" s="21" t="s">
        <v>525</v>
      </c>
      <c r="B101" s="18" t="s">
        <v>526</v>
      </c>
      <c r="C101" s="18" t="s">
        <v>81</v>
      </c>
      <c r="D101" s="19" t="s">
        <v>165</v>
      </c>
      <c r="E101" s="18" t="s">
        <v>533</v>
      </c>
      <c r="F101" s="18" t="s">
        <v>534</v>
      </c>
      <c r="G101" s="18" t="s">
        <v>81</v>
      </c>
      <c r="H101" s="19" t="s">
        <v>165</v>
      </c>
      <c r="I101" s="19" t="s">
        <v>92</v>
      </c>
    </row>
    <row r="102" customFormat="false" ht="28.5" hidden="false" customHeight="true" outlineLevel="0" collapsed="false">
      <c r="A102" s="20" t="s">
        <v>556</v>
      </c>
      <c r="B102" s="15" t="s">
        <v>557</v>
      </c>
      <c r="C102" s="15" t="s">
        <v>84</v>
      </c>
      <c r="D102" s="16" t="s">
        <v>169</v>
      </c>
      <c r="E102" s="15" t="s">
        <v>324</v>
      </c>
      <c r="F102" s="15" t="s">
        <v>325</v>
      </c>
      <c r="G102" s="15" t="s">
        <v>75</v>
      </c>
      <c r="H102" s="16" t="s">
        <v>169</v>
      </c>
      <c r="I102" s="23" t="s">
        <v>72</v>
      </c>
    </row>
    <row r="103" customFormat="false" ht="28.5" hidden="false" customHeight="true" outlineLevel="0" collapsed="false">
      <c r="A103" s="21" t="s">
        <v>556</v>
      </c>
      <c r="B103" s="18" t="s">
        <v>557</v>
      </c>
      <c r="C103" s="18" t="s">
        <v>84</v>
      </c>
      <c r="D103" s="19" t="s">
        <v>169</v>
      </c>
      <c r="E103" s="18" t="s">
        <v>344</v>
      </c>
      <c r="F103" s="18" t="s">
        <v>345</v>
      </c>
      <c r="G103" s="18" t="s">
        <v>75</v>
      </c>
      <c r="H103" s="19" t="s">
        <v>286</v>
      </c>
      <c r="I103" s="23" t="s">
        <v>72</v>
      </c>
    </row>
    <row r="104" customFormat="false" ht="28.5" hidden="false" customHeight="true" outlineLevel="0" collapsed="false">
      <c r="A104" s="20" t="s">
        <v>556</v>
      </c>
      <c r="B104" s="15" t="s">
        <v>557</v>
      </c>
      <c r="C104" s="15" t="s">
        <v>84</v>
      </c>
      <c r="D104" s="16" t="s">
        <v>169</v>
      </c>
      <c r="E104" s="15" t="s">
        <v>562</v>
      </c>
      <c r="F104" s="15" t="s">
        <v>563</v>
      </c>
      <c r="G104" s="15" t="s">
        <v>84</v>
      </c>
      <c r="H104" s="16" t="s">
        <v>169</v>
      </c>
      <c r="I104" s="16" t="s">
        <v>92</v>
      </c>
    </row>
    <row r="105" customFormat="false" ht="28.5" hidden="false" customHeight="true" outlineLevel="0" collapsed="false">
      <c r="A105" s="21" t="s">
        <v>556</v>
      </c>
      <c r="B105" s="18" t="s">
        <v>557</v>
      </c>
      <c r="C105" s="18" t="s">
        <v>84</v>
      </c>
      <c r="D105" s="19" t="s">
        <v>169</v>
      </c>
      <c r="E105" s="18" t="s">
        <v>570</v>
      </c>
      <c r="F105" s="18" t="s">
        <v>571</v>
      </c>
      <c r="G105" s="18" t="s">
        <v>84</v>
      </c>
      <c r="H105" s="19" t="s">
        <v>169</v>
      </c>
      <c r="I105" s="19" t="s">
        <v>92</v>
      </c>
    </row>
    <row r="106" customFormat="false" ht="28.5" hidden="false" customHeight="true" outlineLevel="0" collapsed="false">
      <c r="A106" s="20" t="s">
        <v>556</v>
      </c>
      <c r="B106" s="15" t="s">
        <v>557</v>
      </c>
      <c r="C106" s="15" t="s">
        <v>84</v>
      </c>
      <c r="D106" s="16" t="s">
        <v>169</v>
      </c>
      <c r="E106" s="15" t="s">
        <v>635</v>
      </c>
      <c r="F106" s="15" t="s">
        <v>636</v>
      </c>
      <c r="G106" s="15" t="s">
        <v>84</v>
      </c>
      <c r="H106" s="16" t="s">
        <v>169</v>
      </c>
      <c r="I106" s="16" t="s">
        <v>92</v>
      </c>
    </row>
    <row r="107" customFormat="false" ht="28.5" hidden="false" customHeight="true" outlineLevel="0" collapsed="false">
      <c r="A107" s="21" t="s">
        <v>562</v>
      </c>
      <c r="B107" s="18" t="s">
        <v>563</v>
      </c>
      <c r="C107" s="18" t="s">
        <v>84</v>
      </c>
      <c r="D107" s="19" t="s">
        <v>169</v>
      </c>
      <c r="E107" s="18" t="s">
        <v>472</v>
      </c>
      <c r="F107" s="18" t="s">
        <v>473</v>
      </c>
      <c r="G107" s="18" t="s">
        <v>78</v>
      </c>
      <c r="H107" s="19" t="s">
        <v>161</v>
      </c>
      <c r="I107" s="23" t="s">
        <v>72</v>
      </c>
    </row>
    <row r="108" customFormat="false" ht="28.5" hidden="false" customHeight="true" outlineLevel="0" collapsed="false">
      <c r="A108" s="20" t="s">
        <v>562</v>
      </c>
      <c r="B108" s="15" t="s">
        <v>563</v>
      </c>
      <c r="C108" s="15" t="s">
        <v>84</v>
      </c>
      <c r="D108" s="16" t="s">
        <v>169</v>
      </c>
      <c r="E108" s="15" t="s">
        <v>566</v>
      </c>
      <c r="F108" s="15" t="s">
        <v>567</v>
      </c>
      <c r="G108" s="15" t="s">
        <v>84</v>
      </c>
      <c r="H108" s="16" t="s">
        <v>169</v>
      </c>
      <c r="I108" s="16" t="s">
        <v>92</v>
      </c>
    </row>
    <row r="109" customFormat="false" ht="17.25" hidden="false" customHeight="true" outlineLevel="0" collapsed="false">
      <c r="A109" s="21" t="s">
        <v>566</v>
      </c>
      <c r="B109" s="18" t="s">
        <v>567</v>
      </c>
      <c r="C109" s="18" t="s">
        <v>84</v>
      </c>
      <c r="D109" s="19" t="s">
        <v>169</v>
      </c>
      <c r="E109" s="18" t="s">
        <v>712</v>
      </c>
      <c r="F109" s="18" t="s">
        <v>713</v>
      </c>
      <c r="G109" s="18" t="s">
        <v>190</v>
      </c>
      <c r="H109" s="19" t="s">
        <v>169</v>
      </c>
      <c r="I109" s="23" t="s">
        <v>72</v>
      </c>
    </row>
    <row r="110" customFormat="false" ht="17.25" hidden="false" customHeight="true" outlineLevel="0" collapsed="false">
      <c r="A110" s="20" t="s">
        <v>570</v>
      </c>
      <c r="B110" s="15" t="s">
        <v>571</v>
      </c>
      <c r="C110" s="15" t="s">
        <v>84</v>
      </c>
      <c r="D110" s="16" t="s">
        <v>169</v>
      </c>
      <c r="E110" s="15" t="s">
        <v>578</v>
      </c>
      <c r="F110" s="15" t="s">
        <v>579</v>
      </c>
      <c r="G110" s="15" t="s">
        <v>84</v>
      </c>
      <c r="H110" s="16" t="s">
        <v>169</v>
      </c>
      <c r="I110" s="16" t="s">
        <v>92</v>
      </c>
    </row>
    <row r="111" customFormat="false" ht="17.25" hidden="false" customHeight="true" outlineLevel="0" collapsed="false">
      <c r="A111" s="21" t="s">
        <v>570</v>
      </c>
      <c r="B111" s="18" t="s">
        <v>571</v>
      </c>
      <c r="C111" s="18" t="s">
        <v>84</v>
      </c>
      <c r="D111" s="19" t="s">
        <v>169</v>
      </c>
      <c r="E111" s="18" t="s">
        <v>586</v>
      </c>
      <c r="F111" s="18" t="s">
        <v>587</v>
      </c>
      <c r="G111" s="18" t="s">
        <v>84</v>
      </c>
      <c r="H111" s="19" t="s">
        <v>169</v>
      </c>
      <c r="I111" s="19" t="s">
        <v>92</v>
      </c>
    </row>
    <row r="112" customFormat="false" ht="17.25" hidden="false" customHeight="true" outlineLevel="0" collapsed="false">
      <c r="A112" s="20" t="s">
        <v>570</v>
      </c>
      <c r="B112" s="15" t="s">
        <v>571</v>
      </c>
      <c r="C112" s="15" t="s">
        <v>84</v>
      </c>
      <c r="D112" s="16" t="s">
        <v>169</v>
      </c>
      <c r="E112" s="15" t="s">
        <v>592</v>
      </c>
      <c r="F112" s="15" t="s">
        <v>593</v>
      </c>
      <c r="G112" s="15" t="s">
        <v>84</v>
      </c>
      <c r="H112" s="16" t="s">
        <v>169</v>
      </c>
      <c r="I112" s="16" t="s">
        <v>92</v>
      </c>
    </row>
    <row r="113" customFormat="false" ht="17.25" hidden="false" customHeight="true" outlineLevel="0" collapsed="false">
      <c r="A113" s="21" t="s">
        <v>570</v>
      </c>
      <c r="B113" s="18" t="s">
        <v>571</v>
      </c>
      <c r="C113" s="18" t="s">
        <v>84</v>
      </c>
      <c r="D113" s="19" t="s">
        <v>169</v>
      </c>
      <c r="E113" s="18" t="s">
        <v>599</v>
      </c>
      <c r="F113" s="18" t="s">
        <v>600</v>
      </c>
      <c r="G113" s="18" t="s">
        <v>84</v>
      </c>
      <c r="H113" s="19" t="s">
        <v>169</v>
      </c>
      <c r="I113" s="19" t="s">
        <v>92</v>
      </c>
    </row>
    <row r="114" customFormat="false" ht="17.25" hidden="false" customHeight="true" outlineLevel="0" collapsed="false">
      <c r="A114" s="20" t="s">
        <v>570</v>
      </c>
      <c r="B114" s="15" t="s">
        <v>571</v>
      </c>
      <c r="C114" s="15" t="s">
        <v>84</v>
      </c>
      <c r="D114" s="16" t="s">
        <v>169</v>
      </c>
      <c r="E114" s="15" t="s">
        <v>607</v>
      </c>
      <c r="F114" s="15" t="s">
        <v>608</v>
      </c>
      <c r="G114" s="15" t="s">
        <v>84</v>
      </c>
      <c r="H114" s="16" t="s">
        <v>169</v>
      </c>
      <c r="I114" s="16" t="s">
        <v>92</v>
      </c>
    </row>
    <row r="115" customFormat="false" ht="17.25" hidden="false" customHeight="true" outlineLevel="0" collapsed="false">
      <c r="A115" s="21" t="s">
        <v>570</v>
      </c>
      <c r="B115" s="18" t="s">
        <v>571</v>
      </c>
      <c r="C115" s="18" t="s">
        <v>84</v>
      </c>
      <c r="D115" s="19" t="s">
        <v>169</v>
      </c>
      <c r="E115" s="18" t="s">
        <v>614</v>
      </c>
      <c r="F115" s="18" t="s">
        <v>615</v>
      </c>
      <c r="G115" s="18" t="s">
        <v>84</v>
      </c>
      <c r="H115" s="19" t="s">
        <v>169</v>
      </c>
      <c r="I115" s="19" t="s">
        <v>92</v>
      </c>
    </row>
    <row r="116" customFormat="false" ht="17.25" hidden="false" customHeight="true" outlineLevel="0" collapsed="false">
      <c r="A116" s="20" t="s">
        <v>570</v>
      </c>
      <c r="B116" s="15" t="s">
        <v>571</v>
      </c>
      <c r="C116" s="15" t="s">
        <v>84</v>
      </c>
      <c r="D116" s="16" t="s">
        <v>169</v>
      </c>
      <c r="E116" s="15" t="s">
        <v>621</v>
      </c>
      <c r="F116" s="15" t="s">
        <v>622</v>
      </c>
      <c r="G116" s="15" t="s">
        <v>84</v>
      </c>
      <c r="H116" s="16" t="s">
        <v>169</v>
      </c>
      <c r="I116" s="16" t="s">
        <v>92</v>
      </c>
    </row>
    <row r="117" customFormat="false" ht="17.25" hidden="false" customHeight="true" outlineLevel="0" collapsed="false">
      <c r="A117" s="21" t="s">
        <v>570</v>
      </c>
      <c r="B117" s="18" t="s">
        <v>571</v>
      </c>
      <c r="C117" s="18" t="s">
        <v>84</v>
      </c>
      <c r="D117" s="19" t="s">
        <v>169</v>
      </c>
      <c r="E117" s="18" t="s">
        <v>627</v>
      </c>
      <c r="F117" s="18" t="s">
        <v>628</v>
      </c>
      <c r="G117" s="18" t="s">
        <v>84</v>
      </c>
      <c r="H117" s="19" t="s">
        <v>169</v>
      </c>
      <c r="I117" s="19" t="s">
        <v>92</v>
      </c>
    </row>
    <row r="118" customFormat="false" ht="17.25" hidden="false" customHeight="true" outlineLevel="0" collapsed="false">
      <c r="A118" s="20" t="s">
        <v>570</v>
      </c>
      <c r="B118" s="15" t="s">
        <v>571</v>
      </c>
      <c r="C118" s="15" t="s">
        <v>84</v>
      </c>
      <c r="D118" s="16" t="s">
        <v>169</v>
      </c>
      <c r="E118" s="15" t="s">
        <v>641</v>
      </c>
      <c r="F118" s="15" t="s">
        <v>642</v>
      </c>
      <c r="G118" s="15" t="s">
        <v>84</v>
      </c>
      <c r="H118" s="16" t="s">
        <v>169</v>
      </c>
      <c r="I118" s="16" t="s">
        <v>92</v>
      </c>
    </row>
    <row r="119" customFormat="false" ht="17.25" hidden="false" customHeight="true" outlineLevel="0" collapsed="false">
      <c r="A119" s="21" t="s">
        <v>570</v>
      </c>
      <c r="B119" s="18" t="s">
        <v>571</v>
      </c>
      <c r="C119" s="18" t="s">
        <v>84</v>
      </c>
      <c r="D119" s="19" t="s">
        <v>169</v>
      </c>
      <c r="E119" s="18" t="s">
        <v>655</v>
      </c>
      <c r="F119" s="18" t="s">
        <v>656</v>
      </c>
      <c r="G119" s="18" t="s">
        <v>84</v>
      </c>
      <c r="H119" s="19" t="s">
        <v>169</v>
      </c>
      <c r="I119" s="19" t="s">
        <v>92</v>
      </c>
    </row>
    <row r="120" customFormat="false" ht="17.25" hidden="false" customHeight="true" outlineLevel="0" collapsed="false">
      <c r="A120" s="20" t="s">
        <v>578</v>
      </c>
      <c r="B120" s="15" t="s">
        <v>579</v>
      </c>
      <c r="C120" s="15" t="s">
        <v>84</v>
      </c>
      <c r="D120" s="16" t="s">
        <v>169</v>
      </c>
      <c r="E120" s="15" t="s">
        <v>676</v>
      </c>
      <c r="F120" s="15" t="s">
        <v>677</v>
      </c>
      <c r="G120" s="15" t="s">
        <v>84</v>
      </c>
      <c r="H120" s="16" t="s">
        <v>169</v>
      </c>
      <c r="I120" s="16" t="s">
        <v>92</v>
      </c>
    </row>
    <row r="121" customFormat="false" ht="17.25" hidden="false" customHeight="true" outlineLevel="0" collapsed="false">
      <c r="A121" s="21" t="s">
        <v>578</v>
      </c>
      <c r="B121" s="18" t="s">
        <v>579</v>
      </c>
      <c r="C121" s="18" t="s">
        <v>84</v>
      </c>
      <c r="D121" s="19" t="s">
        <v>169</v>
      </c>
      <c r="E121" s="18" t="s">
        <v>681</v>
      </c>
      <c r="F121" s="18" t="s">
        <v>682</v>
      </c>
      <c r="G121" s="18" t="s">
        <v>84</v>
      </c>
      <c r="H121" s="19" t="s">
        <v>169</v>
      </c>
      <c r="I121" s="19" t="s">
        <v>92</v>
      </c>
    </row>
    <row r="122" customFormat="false" ht="17.25" hidden="false" customHeight="true" outlineLevel="0" collapsed="false">
      <c r="A122" s="20" t="s">
        <v>614</v>
      </c>
      <c r="B122" s="15" t="s">
        <v>615</v>
      </c>
      <c r="C122" s="15" t="s">
        <v>84</v>
      </c>
      <c r="D122" s="16" t="s">
        <v>169</v>
      </c>
      <c r="E122" s="15" t="s">
        <v>627</v>
      </c>
      <c r="F122" s="15" t="s">
        <v>628</v>
      </c>
      <c r="G122" s="15" t="s">
        <v>84</v>
      </c>
      <c r="H122" s="16" t="s">
        <v>169</v>
      </c>
      <c r="I122" s="16" t="s">
        <v>92</v>
      </c>
    </row>
    <row r="123" customFormat="false" ht="17.25" hidden="false" customHeight="true" outlineLevel="0" collapsed="false">
      <c r="A123" s="21" t="s">
        <v>614</v>
      </c>
      <c r="B123" s="18" t="s">
        <v>615</v>
      </c>
      <c r="C123" s="18" t="s">
        <v>84</v>
      </c>
      <c r="D123" s="19" t="s">
        <v>169</v>
      </c>
      <c r="E123" s="18" t="s">
        <v>669</v>
      </c>
      <c r="F123" s="18" t="s">
        <v>670</v>
      </c>
      <c r="G123" s="18" t="s">
        <v>84</v>
      </c>
      <c r="H123" s="19" t="s">
        <v>169</v>
      </c>
      <c r="I123" s="19" t="s">
        <v>92</v>
      </c>
    </row>
    <row r="124" customFormat="false" ht="17.25" hidden="false" customHeight="true" outlineLevel="0" collapsed="false">
      <c r="A124" s="20" t="s">
        <v>627</v>
      </c>
      <c r="B124" s="15" t="s">
        <v>628</v>
      </c>
      <c r="C124" s="15" t="s">
        <v>84</v>
      </c>
      <c r="D124" s="16" t="s">
        <v>169</v>
      </c>
      <c r="E124" s="15" t="s">
        <v>669</v>
      </c>
      <c r="F124" s="15" t="s">
        <v>670</v>
      </c>
      <c r="G124" s="15" t="s">
        <v>84</v>
      </c>
      <c r="H124" s="16" t="s">
        <v>169</v>
      </c>
      <c r="I124" s="16" t="s">
        <v>92</v>
      </c>
    </row>
    <row r="125" customFormat="false" ht="17.25" hidden="false" customHeight="true" outlineLevel="0" collapsed="false">
      <c r="A125" s="21" t="s">
        <v>635</v>
      </c>
      <c r="B125" s="18" t="s">
        <v>636</v>
      </c>
      <c r="C125" s="18" t="s">
        <v>84</v>
      </c>
      <c r="D125" s="19" t="s">
        <v>169</v>
      </c>
      <c r="E125" s="18" t="s">
        <v>648</v>
      </c>
      <c r="F125" s="18" t="s">
        <v>649</v>
      </c>
      <c r="G125" s="18" t="s">
        <v>84</v>
      </c>
      <c r="H125" s="19" t="s">
        <v>169</v>
      </c>
      <c r="I125" s="19" t="s">
        <v>92</v>
      </c>
    </row>
    <row r="126" customFormat="false" ht="17.25" hidden="false" customHeight="true" outlineLevel="0" collapsed="false">
      <c r="A126" s="20" t="s">
        <v>655</v>
      </c>
      <c r="B126" s="15" t="s">
        <v>656</v>
      </c>
      <c r="C126" s="15" t="s">
        <v>84</v>
      </c>
      <c r="D126" s="16" t="s">
        <v>169</v>
      </c>
      <c r="E126" s="15" t="s">
        <v>662</v>
      </c>
      <c r="F126" s="15" t="s">
        <v>663</v>
      </c>
      <c r="G126" s="15" t="s">
        <v>84</v>
      </c>
      <c r="H126" s="16" t="s">
        <v>169</v>
      </c>
      <c r="I126" s="16" t="s">
        <v>92</v>
      </c>
    </row>
    <row r="127" customFormat="false" ht="17.25" hidden="false" customHeight="true" outlineLevel="0" collapsed="false">
      <c r="A127" s="21" t="s">
        <v>685</v>
      </c>
      <c r="B127" s="18" t="s">
        <v>686</v>
      </c>
      <c r="C127" s="18" t="s">
        <v>87</v>
      </c>
      <c r="D127" s="19" t="s">
        <v>286</v>
      </c>
      <c r="E127" s="18" t="s">
        <v>296</v>
      </c>
      <c r="F127" s="18" t="s">
        <v>297</v>
      </c>
      <c r="G127" s="18" t="s">
        <v>75</v>
      </c>
      <c r="H127" s="19" t="s">
        <v>286</v>
      </c>
      <c r="I127" s="23" t="s">
        <v>72</v>
      </c>
    </row>
    <row r="128" customFormat="false" ht="17.25" hidden="false" customHeight="true" outlineLevel="0" collapsed="false">
      <c r="A128" s="20" t="s">
        <v>685</v>
      </c>
      <c r="B128" s="15" t="s">
        <v>686</v>
      </c>
      <c r="C128" s="15" t="s">
        <v>87</v>
      </c>
      <c r="D128" s="16" t="s">
        <v>286</v>
      </c>
      <c r="E128" s="15" t="s">
        <v>662</v>
      </c>
      <c r="F128" s="15" t="s">
        <v>663</v>
      </c>
      <c r="G128" s="15" t="s">
        <v>84</v>
      </c>
      <c r="H128" s="16" t="s">
        <v>169</v>
      </c>
      <c r="I128" s="23" t="s">
        <v>72</v>
      </c>
    </row>
    <row r="129" customFormat="false" ht="17.25" hidden="false" customHeight="true" outlineLevel="0" collapsed="false">
      <c r="A129" s="21" t="s">
        <v>685</v>
      </c>
      <c r="B129" s="18" t="s">
        <v>686</v>
      </c>
      <c r="C129" s="18" t="s">
        <v>87</v>
      </c>
      <c r="D129" s="19" t="s">
        <v>286</v>
      </c>
      <c r="E129" s="18" t="s">
        <v>690</v>
      </c>
      <c r="F129" s="18" t="s">
        <v>691</v>
      </c>
      <c r="G129" s="18" t="s">
        <v>87</v>
      </c>
      <c r="H129" s="19" t="s">
        <v>286</v>
      </c>
      <c r="I129" s="19" t="s">
        <v>92</v>
      </c>
    </row>
    <row r="130" customFormat="false" ht="17.25" hidden="false" customHeight="true" outlineLevel="0" collapsed="false">
      <c r="A130" s="20" t="s">
        <v>685</v>
      </c>
      <c r="B130" s="15" t="s">
        <v>686</v>
      </c>
      <c r="C130" s="15" t="s">
        <v>87</v>
      </c>
      <c r="D130" s="16" t="s">
        <v>286</v>
      </c>
      <c r="E130" s="15" t="s">
        <v>702</v>
      </c>
      <c r="F130" s="15" t="s">
        <v>703</v>
      </c>
      <c r="G130" s="15" t="s">
        <v>87</v>
      </c>
      <c r="H130" s="16" t="s">
        <v>286</v>
      </c>
      <c r="I130" s="16" t="s">
        <v>92</v>
      </c>
    </row>
  </sheetData>
  <autoFilter ref="A1:I130"/>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G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2"/>
    <col collapsed="false" customWidth="true" hidden="false" outlineLevel="0" max="3" min="3" style="0" width="40"/>
    <col collapsed="false" customWidth="true" hidden="false" outlineLevel="0" max="4" min="4" style="0" width="14"/>
    <col collapsed="false" customWidth="true" hidden="false" outlineLevel="0" max="5" min="5" style="0" width="11"/>
    <col collapsed="false" customWidth="true" hidden="false" outlineLevel="0" max="6" min="6" style="0" width="26"/>
    <col collapsed="false" customWidth="true" hidden="false" outlineLevel="0" max="7" min="7" style="0" width="13"/>
  </cols>
  <sheetData>
    <row r="1" customFormat="false" ht="30" hidden="false" customHeight="true" outlineLevel="0" collapsed="false">
      <c r="A1" s="10" t="s">
        <v>760</v>
      </c>
      <c r="B1" s="10" t="s">
        <v>761</v>
      </c>
      <c r="C1" s="10" t="s">
        <v>762</v>
      </c>
      <c r="D1" s="10" t="s">
        <v>65</v>
      </c>
      <c r="E1" s="10" t="s">
        <v>181</v>
      </c>
      <c r="F1" s="10" t="s">
        <v>763</v>
      </c>
      <c r="G1" s="10" t="s">
        <v>764</v>
      </c>
    </row>
    <row r="2" customFormat="false" ht="17.25" hidden="false" customHeight="true" outlineLevel="0" collapsed="false">
      <c r="A2" s="20" t="s">
        <v>765</v>
      </c>
      <c r="B2" s="15" t="s">
        <v>359</v>
      </c>
      <c r="C2" s="15" t="s">
        <v>360</v>
      </c>
      <c r="D2" s="15" t="s">
        <v>75</v>
      </c>
      <c r="E2" s="16" t="s">
        <v>286</v>
      </c>
      <c r="F2" s="15" t="s">
        <v>766</v>
      </c>
      <c r="G2" s="16" t="n">
        <v>1</v>
      </c>
    </row>
    <row r="3" customFormat="false" ht="17.25" hidden="false" customHeight="true" outlineLevel="0" collapsed="false">
      <c r="A3" s="21" t="s">
        <v>767</v>
      </c>
      <c r="B3" s="18" t="s">
        <v>359</v>
      </c>
      <c r="C3" s="18" t="s">
        <v>360</v>
      </c>
      <c r="D3" s="18" t="s">
        <v>75</v>
      </c>
      <c r="E3" s="19" t="s">
        <v>286</v>
      </c>
      <c r="F3" s="18" t="s">
        <v>768</v>
      </c>
      <c r="G3" s="19" t="n">
        <v>1</v>
      </c>
    </row>
    <row r="4" customFormat="false" ht="17.25" hidden="false" customHeight="true" outlineLevel="0" collapsed="false">
      <c r="A4" s="20" t="s">
        <v>769</v>
      </c>
      <c r="B4" s="15" t="s">
        <v>359</v>
      </c>
      <c r="C4" s="15" t="s">
        <v>360</v>
      </c>
      <c r="D4" s="15" t="s">
        <v>75</v>
      </c>
      <c r="E4" s="16" t="s">
        <v>286</v>
      </c>
      <c r="F4" s="15" t="s">
        <v>770</v>
      </c>
      <c r="G4" s="16" t="n">
        <v>1</v>
      </c>
    </row>
    <row r="5" customFormat="false" ht="17.25" hidden="false" customHeight="true" outlineLevel="0" collapsed="false">
      <c r="A5" s="21" t="s">
        <v>771</v>
      </c>
      <c r="B5" s="18" t="s">
        <v>366</v>
      </c>
      <c r="C5" s="18" t="s">
        <v>367</v>
      </c>
      <c r="D5" s="18" t="s">
        <v>75</v>
      </c>
      <c r="E5" s="19" t="s">
        <v>286</v>
      </c>
      <c r="F5" s="18" t="s">
        <v>772</v>
      </c>
      <c r="G5" s="19" t="n">
        <v>1</v>
      </c>
    </row>
    <row r="6" customFormat="false" ht="17.25" hidden="false" customHeight="true" outlineLevel="0" collapsed="false">
      <c r="A6" s="20" t="s">
        <v>393</v>
      </c>
      <c r="B6" s="15" t="s">
        <v>391</v>
      </c>
      <c r="C6" s="15" t="s">
        <v>392</v>
      </c>
      <c r="D6" s="15" t="s">
        <v>75</v>
      </c>
      <c r="E6" s="16" t="s">
        <v>286</v>
      </c>
      <c r="F6" s="15" t="s">
        <v>396</v>
      </c>
      <c r="G6" s="16" t="n">
        <v>1</v>
      </c>
    </row>
    <row r="7" customFormat="false" ht="17.25" hidden="false" customHeight="true" outlineLevel="0" collapsed="false">
      <c r="A7" s="21" t="s">
        <v>773</v>
      </c>
      <c r="B7" s="18" t="s">
        <v>372</v>
      </c>
      <c r="C7" s="18" t="s">
        <v>373</v>
      </c>
      <c r="D7" s="18" t="s">
        <v>75</v>
      </c>
      <c r="E7" s="19" t="s">
        <v>286</v>
      </c>
      <c r="F7" s="18" t="s">
        <v>378</v>
      </c>
      <c r="G7" s="19" t="n">
        <v>1</v>
      </c>
    </row>
    <row r="8" customFormat="false" ht="28.5" hidden="false" customHeight="true" outlineLevel="0" collapsed="false">
      <c r="A8" s="20" t="s">
        <v>774</v>
      </c>
      <c r="B8" s="15" t="s">
        <v>372</v>
      </c>
      <c r="C8" s="15" t="s">
        <v>373</v>
      </c>
      <c r="D8" s="15" t="s">
        <v>75</v>
      </c>
      <c r="E8" s="16" t="s">
        <v>286</v>
      </c>
      <c r="F8" s="15" t="s">
        <v>775</v>
      </c>
      <c r="G8" s="16" t="n">
        <v>0</v>
      </c>
    </row>
    <row r="9" customFormat="false" ht="17.25" hidden="false" customHeight="true" outlineLevel="0" collapsed="false">
      <c r="A9" s="21" t="s">
        <v>776</v>
      </c>
      <c r="B9" s="18" t="s">
        <v>482</v>
      </c>
      <c r="C9" s="18" t="s">
        <v>483</v>
      </c>
      <c r="D9" s="18" t="s">
        <v>81</v>
      </c>
      <c r="E9" s="19" t="s">
        <v>165</v>
      </c>
      <c r="F9" s="18" t="s">
        <v>488</v>
      </c>
      <c r="G9" s="19" t="n">
        <v>1</v>
      </c>
    </row>
    <row r="10" customFormat="false" ht="28.5" hidden="false" customHeight="true" outlineLevel="0" collapsed="false">
      <c r="A10" s="20" t="s">
        <v>777</v>
      </c>
      <c r="B10" s="15" t="s">
        <v>482</v>
      </c>
      <c r="C10" s="15" t="s">
        <v>483</v>
      </c>
      <c r="D10" s="15" t="s">
        <v>81</v>
      </c>
      <c r="E10" s="16" t="s">
        <v>165</v>
      </c>
      <c r="F10" s="15" t="s">
        <v>775</v>
      </c>
      <c r="G10" s="16" t="n">
        <v>0</v>
      </c>
    </row>
    <row r="11" customFormat="false" ht="17.25" hidden="false" customHeight="true" outlineLevel="0" collapsed="false">
      <c r="A11" s="21" t="s">
        <v>778</v>
      </c>
      <c r="B11" s="18" t="s">
        <v>489</v>
      </c>
      <c r="C11" s="18" t="s">
        <v>490</v>
      </c>
      <c r="D11" s="18" t="s">
        <v>81</v>
      </c>
      <c r="E11" s="19" t="s">
        <v>165</v>
      </c>
      <c r="F11" s="18" t="s">
        <v>779</v>
      </c>
      <c r="G11" s="19" t="n">
        <v>1</v>
      </c>
    </row>
    <row r="12" customFormat="false" ht="28.5" hidden="false" customHeight="true" outlineLevel="0" collapsed="false">
      <c r="A12" s="20" t="s">
        <v>780</v>
      </c>
      <c r="B12" s="15" t="s">
        <v>489</v>
      </c>
      <c r="C12" s="15" t="s">
        <v>490</v>
      </c>
      <c r="D12" s="15" t="s">
        <v>81</v>
      </c>
      <c r="E12" s="16" t="s">
        <v>165</v>
      </c>
      <c r="F12" s="15" t="s">
        <v>775</v>
      </c>
      <c r="G12" s="16" t="n">
        <v>0</v>
      </c>
    </row>
    <row r="13" customFormat="false" ht="17.25" hidden="false" customHeight="true" outlineLevel="0" collapsed="false">
      <c r="A13" s="21" t="s">
        <v>781</v>
      </c>
      <c r="B13" s="18" t="s">
        <v>489</v>
      </c>
      <c r="C13" s="18" t="s">
        <v>490</v>
      </c>
      <c r="D13" s="18" t="s">
        <v>81</v>
      </c>
      <c r="E13" s="19" t="s">
        <v>165</v>
      </c>
      <c r="F13" s="18" t="s">
        <v>782</v>
      </c>
      <c r="G13" s="19" t="n">
        <v>1</v>
      </c>
    </row>
    <row r="14" customFormat="false" ht="17.25" hidden="false" customHeight="true" outlineLevel="0" collapsed="false">
      <c r="A14" s="20" t="s">
        <v>783</v>
      </c>
      <c r="B14" s="15" t="s">
        <v>496</v>
      </c>
      <c r="C14" s="15" t="s">
        <v>497</v>
      </c>
      <c r="D14" s="15" t="s">
        <v>81</v>
      </c>
      <c r="E14" s="16" t="s">
        <v>165</v>
      </c>
      <c r="F14" s="15" t="s">
        <v>502</v>
      </c>
      <c r="G14" s="16" t="n">
        <v>1</v>
      </c>
    </row>
    <row r="15" customFormat="false" ht="28.5" hidden="false" customHeight="true" outlineLevel="0" collapsed="false">
      <c r="A15" s="21" t="s">
        <v>784</v>
      </c>
      <c r="B15" s="18" t="s">
        <v>496</v>
      </c>
      <c r="C15" s="18" t="s">
        <v>497</v>
      </c>
      <c r="D15" s="18" t="s">
        <v>81</v>
      </c>
      <c r="E15" s="19" t="s">
        <v>165</v>
      </c>
      <c r="F15" s="18" t="s">
        <v>775</v>
      </c>
      <c r="G15" s="19" t="n">
        <v>0</v>
      </c>
    </row>
    <row r="16" customFormat="false" ht="17.25" hidden="false" customHeight="true" outlineLevel="0" collapsed="false">
      <c r="A16" s="20" t="s">
        <v>785</v>
      </c>
      <c r="B16" s="15" t="s">
        <v>503</v>
      </c>
      <c r="C16" s="15" t="s">
        <v>504</v>
      </c>
      <c r="D16" s="15" t="s">
        <v>81</v>
      </c>
      <c r="E16" s="16" t="s">
        <v>165</v>
      </c>
      <c r="F16" s="15" t="s">
        <v>509</v>
      </c>
      <c r="G16" s="16" t="n">
        <v>1</v>
      </c>
    </row>
    <row r="17" customFormat="false" ht="28.5" hidden="false" customHeight="true" outlineLevel="0" collapsed="false">
      <c r="A17" s="21" t="s">
        <v>786</v>
      </c>
      <c r="B17" s="18" t="s">
        <v>503</v>
      </c>
      <c r="C17" s="18" t="s">
        <v>504</v>
      </c>
      <c r="D17" s="18" t="s">
        <v>81</v>
      </c>
      <c r="E17" s="19" t="s">
        <v>165</v>
      </c>
      <c r="F17" s="18" t="s">
        <v>775</v>
      </c>
      <c r="G17" s="19" t="n">
        <v>0</v>
      </c>
    </row>
    <row r="18" customFormat="false" ht="17.25" hidden="false" customHeight="true" outlineLevel="0" collapsed="false">
      <c r="A18" s="20" t="s">
        <v>787</v>
      </c>
      <c r="B18" s="15" t="s">
        <v>510</v>
      </c>
      <c r="C18" s="15" t="s">
        <v>511</v>
      </c>
      <c r="D18" s="15" t="s">
        <v>81</v>
      </c>
      <c r="E18" s="16" t="s">
        <v>165</v>
      </c>
      <c r="F18" s="15" t="s">
        <v>516</v>
      </c>
      <c r="G18" s="16" t="n">
        <v>1</v>
      </c>
    </row>
    <row r="19" customFormat="false" ht="28.5" hidden="false" customHeight="true" outlineLevel="0" collapsed="false">
      <c r="A19" s="21" t="s">
        <v>788</v>
      </c>
      <c r="B19" s="18" t="s">
        <v>510</v>
      </c>
      <c r="C19" s="18" t="s">
        <v>511</v>
      </c>
      <c r="D19" s="18" t="s">
        <v>81</v>
      </c>
      <c r="E19" s="19" t="s">
        <v>165</v>
      </c>
      <c r="F19" s="18" t="s">
        <v>775</v>
      </c>
      <c r="G19" s="19" t="n">
        <v>0</v>
      </c>
    </row>
    <row r="20" customFormat="false" ht="17.25" hidden="false" customHeight="true" outlineLevel="0" collapsed="false">
      <c r="A20" s="20" t="s">
        <v>789</v>
      </c>
      <c r="B20" s="15" t="s">
        <v>517</v>
      </c>
      <c r="C20" s="15" t="s">
        <v>518</v>
      </c>
      <c r="D20" s="15" t="s">
        <v>81</v>
      </c>
      <c r="E20" s="16" t="s">
        <v>165</v>
      </c>
      <c r="F20" s="15" t="s">
        <v>524</v>
      </c>
      <c r="G20" s="16" t="n">
        <v>1</v>
      </c>
    </row>
    <row r="21" customFormat="false" ht="28.5" hidden="false" customHeight="true" outlineLevel="0" collapsed="false">
      <c r="A21" s="21" t="s">
        <v>790</v>
      </c>
      <c r="B21" s="18" t="s">
        <v>517</v>
      </c>
      <c r="C21" s="18" t="s">
        <v>518</v>
      </c>
      <c r="D21" s="18" t="s">
        <v>81</v>
      </c>
      <c r="E21" s="19" t="s">
        <v>165</v>
      </c>
      <c r="F21" s="18" t="s">
        <v>775</v>
      </c>
      <c r="G21" s="19" t="n">
        <v>0</v>
      </c>
    </row>
    <row r="22" customFormat="false" ht="17.25" hidden="false" customHeight="true" outlineLevel="0" collapsed="false">
      <c r="A22" s="20" t="s">
        <v>791</v>
      </c>
      <c r="B22" s="15" t="s">
        <v>525</v>
      </c>
      <c r="C22" s="15" t="s">
        <v>526</v>
      </c>
      <c r="D22" s="15" t="s">
        <v>81</v>
      </c>
      <c r="E22" s="16" t="s">
        <v>165</v>
      </c>
      <c r="F22" s="15" t="s">
        <v>532</v>
      </c>
      <c r="G22" s="16" t="n">
        <v>1</v>
      </c>
    </row>
    <row r="23" customFormat="false" ht="28.5" hidden="false" customHeight="true" outlineLevel="0" collapsed="false">
      <c r="A23" s="21" t="s">
        <v>792</v>
      </c>
      <c r="B23" s="18" t="s">
        <v>525</v>
      </c>
      <c r="C23" s="18" t="s">
        <v>526</v>
      </c>
      <c r="D23" s="18" t="s">
        <v>81</v>
      </c>
      <c r="E23" s="19" t="s">
        <v>165</v>
      </c>
      <c r="F23" s="18" t="s">
        <v>775</v>
      </c>
      <c r="G23" s="19" t="n">
        <v>0</v>
      </c>
    </row>
    <row r="24" customFormat="false" ht="28.5" hidden="false" customHeight="true" outlineLevel="0" collapsed="false">
      <c r="A24" s="20" t="s">
        <v>793</v>
      </c>
      <c r="B24" s="15" t="s">
        <v>482</v>
      </c>
      <c r="C24" s="15" t="s">
        <v>483</v>
      </c>
      <c r="D24" s="15" t="s">
        <v>81</v>
      </c>
      <c r="E24" s="16" t="s">
        <v>165</v>
      </c>
      <c r="F24" s="15" t="s">
        <v>775</v>
      </c>
      <c r="G24" s="16" t="n">
        <v>0</v>
      </c>
    </row>
    <row r="25" customFormat="false" ht="28.5" hidden="false" customHeight="true" outlineLevel="0" collapsed="false">
      <c r="A25" s="21" t="s">
        <v>794</v>
      </c>
      <c r="B25" s="18" t="s">
        <v>489</v>
      </c>
      <c r="C25" s="18" t="s">
        <v>490</v>
      </c>
      <c r="D25" s="18" t="s">
        <v>81</v>
      </c>
      <c r="E25" s="19" t="s">
        <v>165</v>
      </c>
      <c r="F25" s="18" t="s">
        <v>775</v>
      </c>
      <c r="G25" s="19" t="n">
        <v>0</v>
      </c>
    </row>
    <row r="26" customFormat="false" ht="28.5" hidden="false" customHeight="true" outlineLevel="0" collapsed="false">
      <c r="A26" s="20" t="s">
        <v>795</v>
      </c>
      <c r="B26" s="15" t="s">
        <v>496</v>
      </c>
      <c r="C26" s="15" t="s">
        <v>497</v>
      </c>
      <c r="D26" s="15" t="s">
        <v>81</v>
      </c>
      <c r="E26" s="16" t="s">
        <v>165</v>
      </c>
      <c r="F26" s="15" t="s">
        <v>775</v>
      </c>
      <c r="G26" s="16" t="n">
        <v>0</v>
      </c>
    </row>
    <row r="27" customFormat="false" ht="28.5" hidden="false" customHeight="true" outlineLevel="0" collapsed="false">
      <c r="A27" s="21" t="s">
        <v>796</v>
      </c>
      <c r="B27" s="18" t="s">
        <v>503</v>
      </c>
      <c r="C27" s="18" t="s">
        <v>504</v>
      </c>
      <c r="D27" s="18" t="s">
        <v>81</v>
      </c>
      <c r="E27" s="19" t="s">
        <v>165</v>
      </c>
      <c r="F27" s="18" t="s">
        <v>775</v>
      </c>
      <c r="G27" s="19" t="n">
        <v>0</v>
      </c>
    </row>
    <row r="28" customFormat="false" ht="28.5" hidden="false" customHeight="true" outlineLevel="0" collapsed="false">
      <c r="A28" s="20" t="s">
        <v>797</v>
      </c>
      <c r="B28" s="15" t="s">
        <v>510</v>
      </c>
      <c r="C28" s="15" t="s">
        <v>511</v>
      </c>
      <c r="D28" s="15" t="s">
        <v>81</v>
      </c>
      <c r="E28" s="16" t="s">
        <v>165</v>
      </c>
      <c r="F28" s="15" t="s">
        <v>775</v>
      </c>
      <c r="G28" s="16" t="n">
        <v>0</v>
      </c>
    </row>
    <row r="29" customFormat="false" ht="28.5" hidden="false" customHeight="true" outlineLevel="0" collapsed="false">
      <c r="A29" s="21" t="s">
        <v>798</v>
      </c>
      <c r="B29" s="18" t="s">
        <v>517</v>
      </c>
      <c r="C29" s="18" t="s">
        <v>518</v>
      </c>
      <c r="D29" s="18" t="s">
        <v>81</v>
      </c>
      <c r="E29" s="19" t="s">
        <v>165</v>
      </c>
      <c r="F29" s="18" t="s">
        <v>775</v>
      </c>
      <c r="G29" s="19" t="n">
        <v>0</v>
      </c>
    </row>
    <row r="30" customFormat="false" ht="28.5" hidden="false" customHeight="true" outlineLevel="0" collapsed="false">
      <c r="A30" s="20" t="s">
        <v>799</v>
      </c>
      <c r="B30" s="15" t="s">
        <v>525</v>
      </c>
      <c r="C30" s="15" t="s">
        <v>526</v>
      </c>
      <c r="D30" s="15" t="s">
        <v>81</v>
      </c>
      <c r="E30" s="16" t="s">
        <v>165</v>
      </c>
      <c r="F30" s="15" t="s">
        <v>775</v>
      </c>
      <c r="G30" s="16" t="n">
        <v>0</v>
      </c>
    </row>
    <row r="31" customFormat="false" ht="28.5" hidden="false" customHeight="true" outlineLevel="0" collapsed="false">
      <c r="A31" s="21" t="s">
        <v>800</v>
      </c>
      <c r="B31" s="18" t="s">
        <v>482</v>
      </c>
      <c r="C31" s="18" t="s">
        <v>483</v>
      </c>
      <c r="D31" s="18" t="s">
        <v>81</v>
      </c>
      <c r="E31" s="19" t="s">
        <v>165</v>
      </c>
      <c r="F31" s="18" t="s">
        <v>775</v>
      </c>
      <c r="G31" s="19" t="n">
        <v>0</v>
      </c>
    </row>
    <row r="32" customFormat="false" ht="28.5" hidden="false" customHeight="true" outlineLevel="0" collapsed="false">
      <c r="A32" s="20" t="s">
        <v>801</v>
      </c>
      <c r="B32" s="15" t="s">
        <v>496</v>
      </c>
      <c r="C32" s="15" t="s">
        <v>497</v>
      </c>
      <c r="D32" s="15" t="s">
        <v>81</v>
      </c>
      <c r="E32" s="16" t="s">
        <v>165</v>
      </c>
      <c r="F32" s="15" t="s">
        <v>775</v>
      </c>
      <c r="G32" s="16" t="n">
        <v>0</v>
      </c>
    </row>
    <row r="33" customFormat="false" ht="28.5" hidden="false" customHeight="true" outlineLevel="0" collapsed="false">
      <c r="A33" s="21" t="s">
        <v>802</v>
      </c>
      <c r="B33" s="18" t="s">
        <v>503</v>
      </c>
      <c r="C33" s="18" t="s">
        <v>504</v>
      </c>
      <c r="D33" s="18" t="s">
        <v>81</v>
      </c>
      <c r="E33" s="19" t="s">
        <v>165</v>
      </c>
      <c r="F33" s="18" t="s">
        <v>775</v>
      </c>
      <c r="G33" s="19" t="n">
        <v>0</v>
      </c>
    </row>
    <row r="34" customFormat="false" ht="28.5" hidden="false" customHeight="true" outlineLevel="0" collapsed="false">
      <c r="A34" s="20" t="s">
        <v>803</v>
      </c>
      <c r="B34" s="15" t="s">
        <v>510</v>
      </c>
      <c r="C34" s="15" t="s">
        <v>511</v>
      </c>
      <c r="D34" s="15" t="s">
        <v>81</v>
      </c>
      <c r="E34" s="16" t="s">
        <v>165</v>
      </c>
      <c r="F34" s="15" t="s">
        <v>775</v>
      </c>
      <c r="G34" s="16" t="n">
        <v>0</v>
      </c>
    </row>
    <row r="35" customFormat="false" ht="28.5" hidden="false" customHeight="true" outlineLevel="0" collapsed="false">
      <c r="A35" s="21" t="s">
        <v>804</v>
      </c>
      <c r="B35" s="18" t="s">
        <v>517</v>
      </c>
      <c r="C35" s="18" t="s">
        <v>518</v>
      </c>
      <c r="D35" s="18" t="s">
        <v>81</v>
      </c>
      <c r="E35" s="19" t="s">
        <v>165</v>
      </c>
      <c r="F35" s="18" t="s">
        <v>775</v>
      </c>
      <c r="G35" s="19" t="n">
        <v>0</v>
      </c>
    </row>
    <row r="36" customFormat="false" ht="28.5" hidden="false" customHeight="true" outlineLevel="0" collapsed="false">
      <c r="A36" s="20" t="s">
        <v>805</v>
      </c>
      <c r="B36" s="15" t="s">
        <v>525</v>
      </c>
      <c r="C36" s="15" t="s">
        <v>526</v>
      </c>
      <c r="D36" s="15" t="s">
        <v>81</v>
      </c>
      <c r="E36" s="16" t="s">
        <v>165</v>
      </c>
      <c r="F36" s="15" t="s">
        <v>775</v>
      </c>
      <c r="G36" s="16" t="n">
        <v>0</v>
      </c>
    </row>
    <row r="37" customFormat="false" ht="17.25" hidden="false" customHeight="true" outlineLevel="0" collapsed="false">
      <c r="A37" s="21" t="s">
        <v>572</v>
      </c>
      <c r="B37" s="18" t="s">
        <v>570</v>
      </c>
      <c r="C37" s="18" t="s">
        <v>571</v>
      </c>
      <c r="D37" s="18" t="s">
        <v>84</v>
      </c>
      <c r="E37" s="19" t="s">
        <v>169</v>
      </c>
      <c r="F37" s="18" t="s">
        <v>577</v>
      </c>
      <c r="G37" s="19" t="n">
        <v>3</v>
      </c>
    </row>
    <row r="38" customFormat="false" ht="17.25" hidden="false" customHeight="true" outlineLevel="0" collapsed="false">
      <c r="A38" s="20" t="s">
        <v>806</v>
      </c>
      <c r="B38" s="15" t="s">
        <v>586</v>
      </c>
      <c r="C38" s="15" t="s">
        <v>587</v>
      </c>
      <c r="D38" s="15" t="s">
        <v>84</v>
      </c>
      <c r="E38" s="16" t="s">
        <v>169</v>
      </c>
      <c r="F38" s="15" t="s">
        <v>591</v>
      </c>
      <c r="G38" s="16" t="n">
        <v>3</v>
      </c>
    </row>
    <row r="39" customFormat="false" ht="17.25" hidden="false" customHeight="true" outlineLevel="0" collapsed="false">
      <c r="A39" s="21" t="s">
        <v>580</v>
      </c>
      <c r="B39" s="18" t="s">
        <v>578</v>
      </c>
      <c r="C39" s="18" t="s">
        <v>579</v>
      </c>
      <c r="D39" s="18" t="s">
        <v>84</v>
      </c>
      <c r="E39" s="19" t="s">
        <v>169</v>
      </c>
      <c r="F39" s="18" t="s">
        <v>585</v>
      </c>
      <c r="G39" s="19" t="n">
        <v>1</v>
      </c>
    </row>
    <row r="40" customFormat="false" ht="17.25" hidden="false" customHeight="true" outlineLevel="0" collapsed="false">
      <c r="A40" s="20" t="s">
        <v>637</v>
      </c>
      <c r="B40" s="15" t="s">
        <v>635</v>
      </c>
      <c r="C40" s="15" t="s">
        <v>636</v>
      </c>
      <c r="D40" s="15" t="s">
        <v>84</v>
      </c>
      <c r="E40" s="16" t="s">
        <v>169</v>
      </c>
      <c r="F40" s="15" t="s">
        <v>640</v>
      </c>
      <c r="G40" s="16" t="n">
        <v>1</v>
      </c>
    </row>
    <row r="41" customFormat="false" ht="17.25" hidden="false" customHeight="true" outlineLevel="0" collapsed="false">
      <c r="A41" s="21" t="s">
        <v>629</v>
      </c>
      <c r="B41" s="18" t="s">
        <v>627</v>
      </c>
      <c r="C41" s="18" t="s">
        <v>628</v>
      </c>
      <c r="D41" s="18" t="s">
        <v>84</v>
      </c>
      <c r="E41" s="19" t="s">
        <v>169</v>
      </c>
      <c r="F41" s="18" t="s">
        <v>634</v>
      </c>
      <c r="G41" s="19" t="n">
        <v>1</v>
      </c>
    </row>
    <row r="42" customFormat="false" ht="17.25" hidden="false" customHeight="true" outlineLevel="0" collapsed="false">
      <c r="A42" s="20" t="s">
        <v>623</v>
      </c>
      <c r="B42" s="15" t="s">
        <v>621</v>
      </c>
      <c r="C42" s="15" t="s">
        <v>622</v>
      </c>
      <c r="D42" s="15" t="s">
        <v>84</v>
      </c>
      <c r="E42" s="16" t="s">
        <v>169</v>
      </c>
      <c r="F42" s="15" t="s">
        <v>626</v>
      </c>
      <c r="G42" s="16" t="n">
        <v>1</v>
      </c>
    </row>
    <row r="43" customFormat="false" ht="17.25" hidden="false" customHeight="true" outlineLevel="0" collapsed="false">
      <c r="A43" s="21" t="s">
        <v>643</v>
      </c>
      <c r="B43" s="18" t="s">
        <v>641</v>
      </c>
      <c r="C43" s="18" t="s">
        <v>642</v>
      </c>
      <c r="D43" s="18" t="s">
        <v>84</v>
      </c>
      <c r="E43" s="19" t="s">
        <v>169</v>
      </c>
      <c r="F43" s="18" t="s">
        <v>647</v>
      </c>
      <c r="G43" s="19" t="n">
        <v>1</v>
      </c>
    </row>
    <row r="44" customFormat="false" ht="17.25" hidden="false" customHeight="true" outlineLevel="0" collapsed="false">
      <c r="A44" s="20" t="s">
        <v>650</v>
      </c>
      <c r="B44" s="15" t="s">
        <v>648</v>
      </c>
      <c r="C44" s="15" t="s">
        <v>649</v>
      </c>
      <c r="D44" s="15" t="s">
        <v>84</v>
      </c>
      <c r="E44" s="16" t="s">
        <v>169</v>
      </c>
      <c r="F44" s="15" t="s">
        <v>654</v>
      </c>
      <c r="G44" s="16" t="n">
        <v>1</v>
      </c>
    </row>
    <row r="45" customFormat="false" ht="17.25" hidden="false" customHeight="true" outlineLevel="0" collapsed="false">
      <c r="A45" s="21" t="s">
        <v>807</v>
      </c>
      <c r="B45" s="18" t="s">
        <v>669</v>
      </c>
      <c r="C45" s="18" t="s">
        <v>670</v>
      </c>
      <c r="D45" s="18" t="s">
        <v>84</v>
      </c>
      <c r="E45" s="19" t="s">
        <v>169</v>
      </c>
      <c r="F45" s="18" t="s">
        <v>675</v>
      </c>
      <c r="G45" s="19" t="n">
        <v>1</v>
      </c>
    </row>
    <row r="46" customFormat="false" ht="17.25" hidden="false" customHeight="true" outlineLevel="0" collapsed="false">
      <c r="A46" s="20" t="s">
        <v>808</v>
      </c>
      <c r="B46" s="15" t="s">
        <v>669</v>
      </c>
      <c r="C46" s="15" t="s">
        <v>670</v>
      </c>
      <c r="D46" s="15" t="s">
        <v>84</v>
      </c>
      <c r="E46" s="16" t="s">
        <v>169</v>
      </c>
      <c r="F46" s="15" t="s">
        <v>675</v>
      </c>
      <c r="G46" s="16" t="n">
        <v>1</v>
      </c>
    </row>
    <row r="47" customFormat="false" ht="17.25" hidden="false" customHeight="true" outlineLevel="0" collapsed="false">
      <c r="A47" s="21" t="s">
        <v>657</v>
      </c>
      <c r="B47" s="18" t="s">
        <v>655</v>
      </c>
      <c r="C47" s="18" t="s">
        <v>656</v>
      </c>
      <c r="D47" s="18" t="s">
        <v>84</v>
      </c>
      <c r="E47" s="19" t="s">
        <v>169</v>
      </c>
      <c r="F47" s="18" t="s">
        <v>661</v>
      </c>
      <c r="G47" s="19" t="n">
        <v>1</v>
      </c>
    </row>
    <row r="48" customFormat="false" ht="17.25" hidden="false" customHeight="true" outlineLevel="0" collapsed="false">
      <c r="A48" s="20" t="s">
        <v>809</v>
      </c>
      <c r="B48" s="15" t="s">
        <v>586</v>
      </c>
      <c r="C48" s="15" t="s">
        <v>587</v>
      </c>
      <c r="D48" s="15" t="s">
        <v>84</v>
      </c>
      <c r="E48" s="16" t="s">
        <v>169</v>
      </c>
      <c r="F48" s="15" t="s">
        <v>810</v>
      </c>
      <c r="G48" s="16" t="n">
        <v>1</v>
      </c>
    </row>
    <row r="49" customFormat="false" ht="17.25" hidden="false" customHeight="true" outlineLevel="0" collapsed="false">
      <c r="A49" s="21" t="s">
        <v>811</v>
      </c>
      <c r="B49" s="18" t="s">
        <v>592</v>
      </c>
      <c r="C49" s="18" t="s">
        <v>593</v>
      </c>
      <c r="D49" s="18" t="s">
        <v>84</v>
      </c>
      <c r="E49" s="19" t="s">
        <v>169</v>
      </c>
      <c r="F49" s="18" t="s">
        <v>812</v>
      </c>
      <c r="G49" s="19" t="n">
        <v>1</v>
      </c>
    </row>
    <row r="50" customFormat="false" ht="17.25" hidden="false" customHeight="true" outlineLevel="0" collapsed="false">
      <c r="A50" s="20" t="s">
        <v>813</v>
      </c>
      <c r="B50" s="15" t="s">
        <v>592</v>
      </c>
      <c r="C50" s="15" t="s">
        <v>593</v>
      </c>
      <c r="D50" s="15" t="s">
        <v>84</v>
      </c>
      <c r="E50" s="16" t="s">
        <v>169</v>
      </c>
      <c r="F50" s="15" t="s">
        <v>814</v>
      </c>
      <c r="G50" s="16" t="n">
        <v>1</v>
      </c>
    </row>
    <row r="51" customFormat="false" ht="17.25" hidden="false" customHeight="true" outlineLevel="0" collapsed="false">
      <c r="A51" s="21" t="s">
        <v>815</v>
      </c>
      <c r="B51" s="18" t="s">
        <v>599</v>
      </c>
      <c r="C51" s="18" t="s">
        <v>600</v>
      </c>
      <c r="D51" s="18" t="s">
        <v>84</v>
      </c>
      <c r="E51" s="19" t="s">
        <v>169</v>
      </c>
      <c r="F51" s="18" t="s">
        <v>606</v>
      </c>
      <c r="G51" s="19" t="n">
        <v>1</v>
      </c>
    </row>
    <row r="52" customFormat="false" ht="28.5" hidden="false" customHeight="true" outlineLevel="0" collapsed="false">
      <c r="A52" s="20" t="s">
        <v>816</v>
      </c>
      <c r="B52" s="15" t="s">
        <v>599</v>
      </c>
      <c r="C52" s="15" t="s">
        <v>600</v>
      </c>
      <c r="D52" s="15" t="s">
        <v>84</v>
      </c>
      <c r="E52" s="16" t="s">
        <v>169</v>
      </c>
      <c r="F52" s="15" t="s">
        <v>775</v>
      </c>
      <c r="G52" s="16" t="n">
        <v>0</v>
      </c>
    </row>
    <row r="53" customFormat="false" ht="17.25" hidden="false" customHeight="true" outlineLevel="0" collapsed="false">
      <c r="A53" s="21" t="s">
        <v>609</v>
      </c>
      <c r="B53" s="18" t="s">
        <v>607</v>
      </c>
      <c r="C53" s="18" t="s">
        <v>608</v>
      </c>
      <c r="D53" s="18" t="s">
        <v>84</v>
      </c>
      <c r="E53" s="19" t="s">
        <v>169</v>
      </c>
      <c r="F53" s="18" t="s">
        <v>613</v>
      </c>
      <c r="G53" s="19" t="n">
        <v>1</v>
      </c>
    </row>
    <row r="54" customFormat="false" ht="17.25" hidden="false" customHeight="true" outlineLevel="0" collapsed="false">
      <c r="A54" s="20" t="s">
        <v>616</v>
      </c>
      <c r="B54" s="15" t="s">
        <v>614</v>
      </c>
      <c r="C54" s="15" t="s">
        <v>615</v>
      </c>
      <c r="D54" s="15" t="s">
        <v>84</v>
      </c>
      <c r="E54" s="16" t="s">
        <v>169</v>
      </c>
      <c r="F54" s="15" t="s">
        <v>620</v>
      </c>
      <c r="G54" s="16" t="n">
        <v>1</v>
      </c>
    </row>
    <row r="55" customFormat="false" ht="17.25" hidden="false" customHeight="true" outlineLevel="0" collapsed="false">
      <c r="A55" s="21" t="s">
        <v>664</v>
      </c>
      <c r="B55" s="18" t="s">
        <v>662</v>
      </c>
      <c r="C55" s="18" t="s">
        <v>663</v>
      </c>
      <c r="D55" s="18" t="s">
        <v>84</v>
      </c>
      <c r="E55" s="19" t="s">
        <v>169</v>
      </c>
      <c r="F55" s="18" t="s">
        <v>668</v>
      </c>
      <c r="G55" s="19" t="n">
        <v>1</v>
      </c>
    </row>
    <row r="56" customFormat="false" ht="17.25" hidden="false" customHeight="true" outlineLevel="0" collapsed="false">
      <c r="A56" s="20" t="s">
        <v>817</v>
      </c>
      <c r="B56" s="15" t="s">
        <v>366</v>
      </c>
      <c r="C56" s="15" t="s">
        <v>367</v>
      </c>
      <c r="D56" s="15" t="s">
        <v>75</v>
      </c>
      <c r="E56" s="16" t="s">
        <v>286</v>
      </c>
      <c r="F56" s="15" t="s">
        <v>772</v>
      </c>
      <c r="G56" s="16" t="n">
        <v>1</v>
      </c>
    </row>
    <row r="57" customFormat="false" ht="17.25" hidden="false" customHeight="true" outlineLevel="0" collapsed="false">
      <c r="A57" s="21" t="s">
        <v>818</v>
      </c>
      <c r="B57" s="18" t="s">
        <v>366</v>
      </c>
      <c r="C57" s="18" t="s">
        <v>367</v>
      </c>
      <c r="D57" s="18" t="s">
        <v>75</v>
      </c>
      <c r="E57" s="19" t="s">
        <v>286</v>
      </c>
      <c r="F57" s="18" t="s">
        <v>819</v>
      </c>
      <c r="G57" s="19" t="n">
        <v>1</v>
      </c>
    </row>
    <row r="58" customFormat="false" ht="17.25" hidden="false" customHeight="true" outlineLevel="0" collapsed="false">
      <c r="A58" s="20" t="s">
        <v>820</v>
      </c>
      <c r="B58" s="15" t="s">
        <v>366</v>
      </c>
      <c r="C58" s="15" t="s">
        <v>367</v>
      </c>
      <c r="D58" s="15" t="s">
        <v>75</v>
      </c>
      <c r="E58" s="16" t="s">
        <v>286</v>
      </c>
      <c r="F58" s="15" t="s">
        <v>821</v>
      </c>
      <c r="G58" s="16" t="n">
        <v>1</v>
      </c>
    </row>
    <row r="59" customFormat="false" ht="17.25" hidden="false" customHeight="true" outlineLevel="0" collapsed="false">
      <c r="A59" s="21" t="s">
        <v>822</v>
      </c>
      <c r="B59" s="18" t="s">
        <v>379</v>
      </c>
      <c r="C59" s="18" t="s">
        <v>380</v>
      </c>
      <c r="D59" s="18" t="s">
        <v>75</v>
      </c>
      <c r="E59" s="19" t="s">
        <v>286</v>
      </c>
      <c r="F59" s="18" t="s">
        <v>384</v>
      </c>
      <c r="G59" s="19" t="n">
        <v>1</v>
      </c>
    </row>
    <row r="60" customFormat="false" ht="28.5" hidden="false" customHeight="true" outlineLevel="0" collapsed="false">
      <c r="A60" s="20" t="s">
        <v>823</v>
      </c>
      <c r="B60" s="15" t="s">
        <v>379</v>
      </c>
      <c r="C60" s="15" t="s">
        <v>380</v>
      </c>
      <c r="D60" s="15" t="s">
        <v>75</v>
      </c>
      <c r="E60" s="16" t="s">
        <v>286</v>
      </c>
      <c r="F60" s="15" t="s">
        <v>775</v>
      </c>
      <c r="G60" s="16" t="n">
        <v>0</v>
      </c>
    </row>
    <row r="61" customFormat="false" ht="28.5" hidden="false" customHeight="true" outlineLevel="0" collapsed="false">
      <c r="A61" s="21" t="s">
        <v>824</v>
      </c>
      <c r="B61" s="18" t="s">
        <v>379</v>
      </c>
      <c r="C61" s="18" t="s">
        <v>380</v>
      </c>
      <c r="D61" s="18" t="s">
        <v>75</v>
      </c>
      <c r="E61" s="19" t="s">
        <v>286</v>
      </c>
      <c r="F61" s="18" t="s">
        <v>775</v>
      </c>
      <c r="G61" s="19" t="n">
        <v>0</v>
      </c>
    </row>
    <row r="62" customFormat="false" ht="17.25" hidden="false" customHeight="true" outlineLevel="0" collapsed="false">
      <c r="A62" s="20" t="s">
        <v>825</v>
      </c>
      <c r="B62" s="15" t="s">
        <v>385</v>
      </c>
      <c r="C62" s="15" t="s">
        <v>386</v>
      </c>
      <c r="D62" s="15" t="s">
        <v>75</v>
      </c>
      <c r="E62" s="16" t="s">
        <v>286</v>
      </c>
      <c r="F62" s="15" t="s">
        <v>390</v>
      </c>
      <c r="G62" s="16" t="n">
        <v>1</v>
      </c>
    </row>
    <row r="63" customFormat="false" ht="17.25" hidden="false" customHeight="true" outlineLevel="0" collapsed="false">
      <c r="A63" s="21" t="s">
        <v>826</v>
      </c>
      <c r="B63" s="18" t="s">
        <v>385</v>
      </c>
      <c r="C63" s="18" t="s">
        <v>386</v>
      </c>
      <c r="D63" s="18" t="s">
        <v>75</v>
      </c>
      <c r="E63" s="19" t="s">
        <v>286</v>
      </c>
      <c r="F63" s="18" t="s">
        <v>390</v>
      </c>
      <c r="G63" s="19" t="n">
        <v>1</v>
      </c>
    </row>
    <row r="64" customFormat="false" ht="17.25" hidden="false" customHeight="true" outlineLevel="0" collapsed="false">
      <c r="A64" s="20" t="s">
        <v>827</v>
      </c>
      <c r="B64" s="15" t="s">
        <v>385</v>
      </c>
      <c r="C64" s="15" t="s">
        <v>386</v>
      </c>
      <c r="D64" s="15" t="s">
        <v>75</v>
      </c>
      <c r="E64" s="16" t="s">
        <v>286</v>
      </c>
      <c r="F64" s="15" t="s">
        <v>390</v>
      </c>
      <c r="G64" s="16" t="n">
        <v>1</v>
      </c>
    </row>
    <row r="65" customFormat="false" ht="17.25" hidden="false" customHeight="true" outlineLevel="0" collapsed="false">
      <c r="A65" s="21" t="s">
        <v>828</v>
      </c>
      <c r="B65" s="18" t="s">
        <v>344</v>
      </c>
      <c r="C65" s="18" t="s">
        <v>345</v>
      </c>
      <c r="D65" s="18" t="s">
        <v>75</v>
      </c>
      <c r="E65" s="19" t="s">
        <v>286</v>
      </c>
      <c r="F65" s="18" t="s">
        <v>829</v>
      </c>
      <c r="G65" s="19" t="n">
        <v>1</v>
      </c>
    </row>
    <row r="66" customFormat="false" ht="17.25" hidden="false" customHeight="true" outlineLevel="0" collapsed="false">
      <c r="A66" s="20" t="s">
        <v>830</v>
      </c>
      <c r="B66" s="15" t="s">
        <v>344</v>
      </c>
      <c r="C66" s="15" t="s">
        <v>345</v>
      </c>
      <c r="D66" s="15" t="s">
        <v>75</v>
      </c>
      <c r="E66" s="16" t="s">
        <v>286</v>
      </c>
      <c r="F66" s="15" t="s">
        <v>831</v>
      </c>
      <c r="G66" s="16" t="n">
        <v>1</v>
      </c>
    </row>
    <row r="67" customFormat="false" ht="17.25" hidden="false" customHeight="true" outlineLevel="0" collapsed="false">
      <c r="A67" s="21" t="s">
        <v>298</v>
      </c>
      <c r="B67" s="18" t="s">
        <v>296</v>
      </c>
      <c r="C67" s="18" t="s">
        <v>297</v>
      </c>
      <c r="D67" s="18" t="s">
        <v>75</v>
      </c>
      <c r="E67" s="19" t="s">
        <v>286</v>
      </c>
      <c r="F67" s="18" t="s">
        <v>832</v>
      </c>
      <c r="G67" s="19" t="n">
        <v>3</v>
      </c>
    </row>
    <row r="68" customFormat="false" ht="17.25" hidden="false" customHeight="true" outlineLevel="0" collapsed="false">
      <c r="A68" s="20" t="s">
        <v>305</v>
      </c>
      <c r="B68" s="15" t="s">
        <v>303</v>
      </c>
      <c r="C68" s="15" t="s">
        <v>304</v>
      </c>
      <c r="D68" s="15" t="s">
        <v>75</v>
      </c>
      <c r="E68" s="16" t="s">
        <v>286</v>
      </c>
      <c r="F68" s="15" t="s">
        <v>833</v>
      </c>
      <c r="G68" s="16" t="n">
        <v>3</v>
      </c>
    </row>
    <row r="69" customFormat="false" ht="17.25" hidden="false" customHeight="true" outlineLevel="0" collapsed="false">
      <c r="A69" s="21" t="s">
        <v>312</v>
      </c>
      <c r="B69" s="18" t="s">
        <v>310</v>
      </c>
      <c r="C69" s="18" t="s">
        <v>311</v>
      </c>
      <c r="D69" s="18" t="s">
        <v>75</v>
      </c>
      <c r="E69" s="19" t="s">
        <v>286</v>
      </c>
      <c r="F69" s="18" t="s">
        <v>834</v>
      </c>
      <c r="G69" s="19" t="n">
        <v>3</v>
      </c>
    </row>
    <row r="70" customFormat="false" ht="28.5" hidden="false" customHeight="true" outlineLevel="0" collapsed="false">
      <c r="A70" s="20" t="s">
        <v>334</v>
      </c>
      <c r="B70" s="15" t="s">
        <v>332</v>
      </c>
      <c r="C70" s="15" t="s">
        <v>333</v>
      </c>
      <c r="D70" s="15" t="s">
        <v>75</v>
      </c>
      <c r="E70" s="16" t="s">
        <v>286</v>
      </c>
      <c r="F70" s="15" t="s">
        <v>835</v>
      </c>
      <c r="G70" s="16" t="n">
        <v>5</v>
      </c>
    </row>
    <row r="71" customFormat="false" ht="17.25" hidden="false" customHeight="true" outlineLevel="0" collapsed="false">
      <c r="A71" s="21" t="s">
        <v>340</v>
      </c>
      <c r="B71" s="18" t="s">
        <v>338</v>
      </c>
      <c r="C71" s="18" t="s">
        <v>339</v>
      </c>
      <c r="D71" s="18" t="s">
        <v>75</v>
      </c>
      <c r="E71" s="19" t="s">
        <v>286</v>
      </c>
      <c r="F71" s="18" t="s">
        <v>836</v>
      </c>
      <c r="G71" s="19" t="n">
        <v>2</v>
      </c>
    </row>
    <row r="72" customFormat="false" ht="17.25" hidden="false" customHeight="true" outlineLevel="0" collapsed="false">
      <c r="A72" s="20" t="s">
        <v>233</v>
      </c>
      <c r="B72" s="15" t="s">
        <v>231</v>
      </c>
      <c r="C72" s="15" t="s">
        <v>232</v>
      </c>
      <c r="D72" s="15" t="s">
        <v>70</v>
      </c>
      <c r="E72" s="16" t="s">
        <v>150</v>
      </c>
      <c r="F72" s="15" t="s">
        <v>237</v>
      </c>
      <c r="G72" s="16" t="n">
        <v>1</v>
      </c>
    </row>
    <row r="73" customFormat="false" ht="17.25" hidden="false" customHeight="true" outlineLevel="0" collapsed="false">
      <c r="A73" s="21" t="s">
        <v>540</v>
      </c>
      <c r="B73" s="18" t="s">
        <v>538</v>
      </c>
      <c r="C73" s="18" t="s">
        <v>539</v>
      </c>
      <c r="D73" s="18" t="s">
        <v>81</v>
      </c>
      <c r="E73" s="19" t="s">
        <v>165</v>
      </c>
      <c r="F73" s="18" t="s">
        <v>837</v>
      </c>
      <c r="G73" s="19" t="n">
        <v>3</v>
      </c>
    </row>
    <row r="74" customFormat="false" ht="17.25" hidden="false" customHeight="true" outlineLevel="0" collapsed="false">
      <c r="A74" s="20" t="s">
        <v>326</v>
      </c>
      <c r="B74" s="15" t="s">
        <v>324</v>
      </c>
      <c r="C74" s="15" t="s">
        <v>325</v>
      </c>
      <c r="D74" s="15" t="s">
        <v>75</v>
      </c>
      <c r="E74" s="16" t="s">
        <v>169</v>
      </c>
      <c r="F74" s="15" t="s">
        <v>331</v>
      </c>
      <c r="G74" s="16" t="n">
        <v>1</v>
      </c>
    </row>
    <row r="75" customFormat="false" ht="17.25" hidden="false" customHeight="true" outlineLevel="0" collapsed="false">
      <c r="A75" s="21" t="s">
        <v>318</v>
      </c>
      <c r="B75" s="18" t="s">
        <v>316</v>
      </c>
      <c r="C75" s="18" t="s">
        <v>317</v>
      </c>
      <c r="D75" s="18" t="s">
        <v>75</v>
      </c>
      <c r="E75" s="19" t="s">
        <v>286</v>
      </c>
      <c r="F75" s="18" t="s">
        <v>323</v>
      </c>
      <c r="G75" s="19" t="n">
        <v>3</v>
      </c>
    </row>
    <row r="76" customFormat="false" ht="17.25" hidden="false" customHeight="true" outlineLevel="0" collapsed="false">
      <c r="A76" s="20" t="s">
        <v>354</v>
      </c>
      <c r="B76" s="15" t="s">
        <v>352</v>
      </c>
      <c r="C76" s="15" t="s">
        <v>353</v>
      </c>
      <c r="D76" s="15" t="s">
        <v>75</v>
      </c>
      <c r="E76" s="16" t="s">
        <v>286</v>
      </c>
      <c r="F76" s="15" t="s">
        <v>358</v>
      </c>
      <c r="G76" s="16" t="n">
        <v>1</v>
      </c>
    </row>
  </sheetData>
  <autoFilter ref="A1:G76"/>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3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14"/>
    <col collapsed="false" customWidth="true" hidden="false" outlineLevel="0" max="4" min="4" style="0" width="11"/>
    <col collapsed="false" customWidth="true" hidden="false" outlineLevel="0" max="5" min="5" style="0" width="62"/>
  </cols>
  <sheetData>
    <row r="1" customFormat="false" ht="30" hidden="false" customHeight="true" outlineLevel="0" collapsed="false">
      <c r="A1" s="10" t="s">
        <v>65</v>
      </c>
      <c r="B1" s="10" t="s">
        <v>838</v>
      </c>
      <c r="C1" s="10" t="s">
        <v>839</v>
      </c>
      <c r="D1" s="10" t="s">
        <v>181</v>
      </c>
      <c r="E1" s="10" t="s">
        <v>840</v>
      </c>
    </row>
    <row r="2" customFormat="false" ht="17.25" hidden="false" customHeight="true" outlineLevel="0" collapsed="false">
      <c r="A2" s="15" t="s">
        <v>78</v>
      </c>
      <c r="B2" s="15" t="s">
        <v>469</v>
      </c>
      <c r="C2" s="15" t="s">
        <v>467</v>
      </c>
      <c r="D2" s="16" t="s">
        <v>161</v>
      </c>
      <c r="E2" s="15"/>
    </row>
    <row r="3" customFormat="false" ht="17.25" hidden="false" customHeight="true" outlineLevel="0" collapsed="false">
      <c r="A3" s="18" t="s">
        <v>78</v>
      </c>
      <c r="B3" s="18" t="s">
        <v>403</v>
      </c>
      <c r="C3" s="18" t="s">
        <v>401</v>
      </c>
      <c r="D3" s="19" t="s">
        <v>161</v>
      </c>
      <c r="E3" s="18"/>
    </row>
    <row r="4" customFormat="false" ht="17.25" hidden="false" customHeight="true" outlineLevel="0" collapsed="false">
      <c r="A4" s="15" t="s">
        <v>78</v>
      </c>
      <c r="B4" s="15" t="s">
        <v>841</v>
      </c>
      <c r="C4" s="15" t="s">
        <v>411</v>
      </c>
      <c r="D4" s="16" t="s">
        <v>161</v>
      </c>
      <c r="E4" s="15"/>
    </row>
    <row r="5" customFormat="false" ht="17.25" hidden="false" customHeight="true" outlineLevel="0" collapsed="false">
      <c r="A5" s="18" t="s">
        <v>78</v>
      </c>
      <c r="B5" s="18" t="s">
        <v>842</v>
      </c>
      <c r="C5" s="18" t="s">
        <v>411</v>
      </c>
      <c r="D5" s="19" t="s">
        <v>161</v>
      </c>
      <c r="E5" s="18"/>
    </row>
    <row r="6" customFormat="false" ht="17.25" hidden="false" customHeight="true" outlineLevel="0" collapsed="false">
      <c r="A6" s="15" t="s">
        <v>78</v>
      </c>
      <c r="B6" s="15" t="s">
        <v>450</v>
      </c>
      <c r="C6" s="15" t="s">
        <v>448</v>
      </c>
      <c r="D6" s="16" t="s">
        <v>161</v>
      </c>
      <c r="E6" s="15"/>
    </row>
    <row r="7" customFormat="false" ht="17.25" hidden="false" customHeight="true" outlineLevel="0" collapsed="false">
      <c r="A7" s="18" t="s">
        <v>78</v>
      </c>
      <c r="B7" s="18" t="s">
        <v>445</v>
      </c>
      <c r="C7" s="18" t="s">
        <v>443</v>
      </c>
      <c r="D7" s="19" t="s">
        <v>161</v>
      </c>
      <c r="E7" s="18"/>
    </row>
    <row r="8" customFormat="false" ht="28.5" hidden="false" customHeight="true" outlineLevel="0" collapsed="false">
      <c r="A8" s="15" t="s">
        <v>70</v>
      </c>
      <c r="B8" s="15" t="s">
        <v>261</v>
      </c>
      <c r="C8" s="15" t="s">
        <v>259</v>
      </c>
      <c r="D8" s="16" t="s">
        <v>150</v>
      </c>
      <c r="E8" s="15" t="s">
        <v>843</v>
      </c>
    </row>
    <row r="9" customFormat="false" ht="28.5" hidden="false" customHeight="true" outlineLevel="0" collapsed="false">
      <c r="A9" s="18" t="s">
        <v>70</v>
      </c>
      <c r="B9" s="18" t="s">
        <v>256</v>
      </c>
      <c r="C9" s="18" t="s">
        <v>254</v>
      </c>
      <c r="D9" s="19" t="s">
        <v>150</v>
      </c>
      <c r="E9" s="18" t="s">
        <v>844</v>
      </c>
    </row>
    <row r="10" customFormat="false" ht="28.5" hidden="false" customHeight="true" outlineLevel="0" collapsed="false">
      <c r="A10" s="15" t="s">
        <v>70</v>
      </c>
      <c r="B10" s="15" t="s">
        <v>251</v>
      </c>
      <c r="C10" s="15" t="s">
        <v>249</v>
      </c>
      <c r="D10" s="16" t="s">
        <v>150</v>
      </c>
      <c r="E10" s="15" t="s">
        <v>845</v>
      </c>
    </row>
    <row r="11" customFormat="false" ht="17.25" hidden="false" customHeight="true" outlineLevel="0" collapsed="false">
      <c r="A11" s="18" t="s">
        <v>75</v>
      </c>
      <c r="B11" s="18" t="s">
        <v>347</v>
      </c>
      <c r="C11" s="18" t="s">
        <v>284</v>
      </c>
      <c r="D11" s="19" t="s">
        <v>286</v>
      </c>
      <c r="E11" s="18"/>
    </row>
    <row r="12" customFormat="false" ht="17.25" hidden="false" customHeight="true" outlineLevel="0" collapsed="false">
      <c r="A12" s="15" t="s">
        <v>75</v>
      </c>
      <c r="B12" s="15" t="s">
        <v>846</v>
      </c>
      <c r="C12" s="15" t="s">
        <v>303</v>
      </c>
      <c r="D12" s="16" t="s">
        <v>286</v>
      </c>
      <c r="E12" s="15"/>
    </row>
    <row r="13" customFormat="false" ht="17.25" hidden="false" customHeight="true" outlineLevel="0" collapsed="false">
      <c r="A13" s="18" t="s">
        <v>75</v>
      </c>
      <c r="B13" s="18" t="s">
        <v>292</v>
      </c>
      <c r="C13" s="18" t="s">
        <v>290</v>
      </c>
      <c r="D13" s="19" t="s">
        <v>286</v>
      </c>
      <c r="E13" s="18" t="s">
        <v>847</v>
      </c>
    </row>
    <row r="14" customFormat="false" ht="17.25" hidden="false" customHeight="true" outlineLevel="0" collapsed="false">
      <c r="A14" s="15" t="s">
        <v>75</v>
      </c>
      <c r="B14" s="15" t="s">
        <v>362</v>
      </c>
      <c r="C14" s="15" t="s">
        <v>284</v>
      </c>
      <c r="D14" s="16" t="s">
        <v>286</v>
      </c>
      <c r="E14" s="15"/>
    </row>
    <row r="15" customFormat="false" ht="17.25" hidden="false" customHeight="true" outlineLevel="0" collapsed="false">
      <c r="A15" s="18" t="s">
        <v>75</v>
      </c>
      <c r="B15" s="18" t="s">
        <v>327</v>
      </c>
      <c r="C15" s="18" t="s">
        <v>284</v>
      </c>
      <c r="D15" s="19" t="s">
        <v>286</v>
      </c>
      <c r="E15" s="18"/>
    </row>
    <row r="16" customFormat="false" ht="17.25" hidden="false" customHeight="true" outlineLevel="0" collapsed="false">
      <c r="A16" s="15" t="s">
        <v>75</v>
      </c>
      <c r="B16" s="15" t="s">
        <v>319</v>
      </c>
      <c r="C16" s="15" t="s">
        <v>284</v>
      </c>
      <c r="D16" s="16" t="s">
        <v>286</v>
      </c>
      <c r="E16" s="15"/>
    </row>
    <row r="17" customFormat="false" ht="17.25" hidden="false" customHeight="true" outlineLevel="0" collapsed="false">
      <c r="A17" s="18" t="s">
        <v>75</v>
      </c>
      <c r="B17" s="18" t="s">
        <v>375</v>
      </c>
      <c r="C17" s="18" t="s">
        <v>303</v>
      </c>
      <c r="D17" s="19" t="s">
        <v>286</v>
      </c>
      <c r="E17" s="18"/>
    </row>
    <row r="18" customFormat="false" ht="17.25" hidden="false" customHeight="true" outlineLevel="0" collapsed="false">
      <c r="A18" s="15" t="s">
        <v>75</v>
      </c>
      <c r="B18" s="15" t="s">
        <v>848</v>
      </c>
      <c r="C18" s="15" t="s">
        <v>284</v>
      </c>
      <c r="D18" s="16" t="s">
        <v>286</v>
      </c>
      <c r="E18" s="15"/>
    </row>
    <row r="19" customFormat="false" ht="17.25" hidden="false" customHeight="true" outlineLevel="0" collapsed="false">
      <c r="A19" s="18" t="s">
        <v>87</v>
      </c>
      <c r="B19" s="18" t="s">
        <v>849</v>
      </c>
      <c r="C19" s="18" t="s">
        <v>702</v>
      </c>
      <c r="D19" s="19" t="s">
        <v>286</v>
      </c>
      <c r="E19" s="18"/>
    </row>
    <row r="20" customFormat="false" ht="17.25" hidden="false" customHeight="true" outlineLevel="0" collapsed="false">
      <c r="A20" s="15" t="s">
        <v>87</v>
      </c>
      <c r="B20" s="15" t="s">
        <v>687</v>
      </c>
      <c r="C20" s="15" t="s">
        <v>685</v>
      </c>
      <c r="D20" s="16" t="s">
        <v>286</v>
      </c>
      <c r="E20" s="15"/>
    </row>
    <row r="21" customFormat="false" ht="17.25" hidden="false" customHeight="true" outlineLevel="0" collapsed="false">
      <c r="A21" s="18" t="s">
        <v>81</v>
      </c>
      <c r="B21" s="18" t="s">
        <v>499</v>
      </c>
      <c r="C21" s="18" t="s">
        <v>496</v>
      </c>
      <c r="D21" s="19" t="s">
        <v>165</v>
      </c>
      <c r="E21" s="18"/>
    </row>
    <row r="22" customFormat="false" ht="17.25" hidden="false" customHeight="true" outlineLevel="0" collapsed="false">
      <c r="A22" s="15" t="s">
        <v>81</v>
      </c>
      <c r="B22" s="15" t="s">
        <v>528</v>
      </c>
      <c r="C22" s="15" t="s">
        <v>525</v>
      </c>
      <c r="D22" s="16" t="s">
        <v>165</v>
      </c>
      <c r="E22" s="15"/>
    </row>
    <row r="23" customFormat="false" ht="17.25" hidden="false" customHeight="true" outlineLevel="0" collapsed="false">
      <c r="A23" s="18" t="s">
        <v>81</v>
      </c>
      <c r="B23" s="18" t="s">
        <v>520</v>
      </c>
      <c r="C23" s="18" t="s">
        <v>517</v>
      </c>
      <c r="D23" s="19" t="s">
        <v>165</v>
      </c>
      <c r="E23" s="18"/>
    </row>
    <row r="24" customFormat="false" ht="28.5" hidden="false" customHeight="true" outlineLevel="0" collapsed="false">
      <c r="A24" s="15" t="s">
        <v>81</v>
      </c>
      <c r="B24" s="15" t="s">
        <v>535</v>
      </c>
      <c r="C24" s="15" t="s">
        <v>533</v>
      </c>
      <c r="D24" s="16" t="s">
        <v>165</v>
      </c>
      <c r="E24" s="15" t="s">
        <v>850</v>
      </c>
    </row>
    <row r="25" customFormat="false" ht="17.25" hidden="false" customHeight="true" outlineLevel="0" collapsed="false">
      <c r="A25" s="18" t="s">
        <v>81</v>
      </c>
      <c r="B25" s="18" t="s">
        <v>485</v>
      </c>
      <c r="C25" s="18" t="s">
        <v>482</v>
      </c>
      <c r="D25" s="19" t="s">
        <v>165</v>
      </c>
      <c r="E25" s="18"/>
    </row>
    <row r="26" customFormat="false" ht="17.25" hidden="false" customHeight="true" outlineLevel="0" collapsed="false">
      <c r="A26" s="15" t="s">
        <v>81</v>
      </c>
      <c r="B26" s="15" t="s">
        <v>547</v>
      </c>
      <c r="C26" s="15" t="s">
        <v>545</v>
      </c>
      <c r="D26" s="16" t="s">
        <v>165</v>
      </c>
      <c r="E26" s="15"/>
    </row>
    <row r="27" customFormat="false" ht="17.25" hidden="false" customHeight="true" outlineLevel="0" collapsed="false">
      <c r="A27" s="18" t="s">
        <v>81</v>
      </c>
      <c r="B27" s="18" t="s">
        <v>506</v>
      </c>
      <c r="C27" s="18" t="s">
        <v>503</v>
      </c>
      <c r="D27" s="19" t="s">
        <v>165</v>
      </c>
      <c r="E27" s="18"/>
    </row>
    <row r="28" customFormat="false" ht="17.25" hidden="false" customHeight="true" outlineLevel="0" collapsed="false">
      <c r="A28" s="15" t="s">
        <v>81</v>
      </c>
      <c r="B28" s="15" t="s">
        <v>513</v>
      </c>
      <c r="C28" s="15" t="s">
        <v>510</v>
      </c>
      <c r="D28" s="16" t="s">
        <v>165</v>
      </c>
      <c r="E28" s="15"/>
    </row>
    <row r="29" customFormat="false" ht="28.5" hidden="false" customHeight="true" outlineLevel="0" collapsed="false">
      <c r="A29" s="18" t="s">
        <v>81</v>
      </c>
      <c r="B29" s="18" t="s">
        <v>492</v>
      </c>
      <c r="C29" s="18" t="s">
        <v>489</v>
      </c>
      <c r="D29" s="19" t="s">
        <v>165</v>
      </c>
      <c r="E29" s="18" t="s">
        <v>851</v>
      </c>
    </row>
    <row r="30" customFormat="false" ht="17.25" hidden="false" customHeight="true" outlineLevel="0" collapsed="false">
      <c r="A30" s="15" t="s">
        <v>84</v>
      </c>
      <c r="B30" s="15" t="s">
        <v>678</v>
      </c>
      <c r="C30" s="15" t="s">
        <v>676</v>
      </c>
      <c r="D30" s="16" t="s">
        <v>169</v>
      </c>
      <c r="E30" s="15"/>
    </row>
    <row r="31" customFormat="false" ht="17.25" hidden="false" customHeight="true" outlineLevel="0" collapsed="false">
      <c r="A31" s="18" t="s">
        <v>84</v>
      </c>
      <c r="B31" s="18" t="s">
        <v>617</v>
      </c>
      <c r="C31" s="18" t="s">
        <v>614</v>
      </c>
      <c r="D31" s="19" t="s">
        <v>169</v>
      </c>
      <c r="E31" s="18"/>
    </row>
    <row r="32" customFormat="false" ht="17.25" hidden="false" customHeight="true" outlineLevel="0" collapsed="false">
      <c r="A32" s="15" t="s">
        <v>84</v>
      </c>
      <c r="B32" s="15" t="s">
        <v>630</v>
      </c>
      <c r="C32" s="15" t="s">
        <v>570</v>
      </c>
      <c r="D32" s="16" t="s">
        <v>169</v>
      </c>
      <c r="E32" s="15"/>
    </row>
    <row r="33" customFormat="false" ht="28.5" hidden="false" customHeight="true" outlineLevel="0" collapsed="false">
      <c r="A33" s="18" t="s">
        <v>84</v>
      </c>
      <c r="B33" s="18" t="s">
        <v>602</v>
      </c>
      <c r="C33" s="18" t="s">
        <v>599</v>
      </c>
      <c r="D33" s="19" t="s">
        <v>169</v>
      </c>
      <c r="E33" s="18" t="s">
        <v>852</v>
      </c>
    </row>
    <row r="34" customFormat="false" ht="17.25" hidden="false" customHeight="true" outlineLevel="0" collapsed="false">
      <c r="A34" s="15" t="s">
        <v>84</v>
      </c>
      <c r="B34" s="15" t="s">
        <v>581</v>
      </c>
      <c r="C34" s="15" t="s">
        <v>578</v>
      </c>
      <c r="D34" s="16" t="s">
        <v>169</v>
      </c>
      <c r="E34" s="15"/>
    </row>
    <row r="35" customFormat="false" ht="28.5" hidden="false" customHeight="true" outlineLevel="0" collapsed="false">
      <c r="A35" s="18" t="s">
        <v>84</v>
      </c>
      <c r="B35" s="18" t="s">
        <v>558</v>
      </c>
      <c r="C35" s="18" t="s">
        <v>556</v>
      </c>
      <c r="D35" s="19" t="s">
        <v>169</v>
      </c>
      <c r="E35" s="18" t="s">
        <v>853</v>
      </c>
    </row>
    <row r="36" customFormat="false" ht="17.25" hidden="false" customHeight="true" outlineLevel="0" collapsed="false">
      <c r="A36" s="15" t="s">
        <v>84</v>
      </c>
      <c r="B36" s="15" t="s">
        <v>610</v>
      </c>
      <c r="C36" s="15" t="s">
        <v>607</v>
      </c>
      <c r="D36" s="16" t="s">
        <v>169</v>
      </c>
      <c r="E36" s="15"/>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B6C"/>
    <pageSetUpPr fitToPage="true"/>
  </sheetPr>
  <dimension ref="A1:E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34"/>
    <col collapsed="false" customWidth="true" hidden="false" outlineLevel="0" max="4" min="4" style="0" width="50"/>
    <col collapsed="false" customWidth="true" hidden="false" outlineLevel="0" max="5" min="5" style="0" width="12"/>
  </cols>
  <sheetData>
    <row r="1" customFormat="false" ht="30" hidden="false" customHeight="true" outlineLevel="0" collapsed="false">
      <c r="A1" s="10" t="s">
        <v>854</v>
      </c>
      <c r="B1" s="10" t="s">
        <v>855</v>
      </c>
      <c r="C1" s="10" t="s">
        <v>856</v>
      </c>
      <c r="D1" s="10" t="s">
        <v>857</v>
      </c>
      <c r="E1" s="10" t="s">
        <v>66</v>
      </c>
    </row>
    <row r="2" customFormat="false" ht="17.25" hidden="false" customHeight="true" outlineLevel="0" collapsed="false">
      <c r="A2" s="45" t="s">
        <v>559</v>
      </c>
      <c r="B2" s="12" t="s">
        <v>84</v>
      </c>
      <c r="C2" s="12" t="s">
        <v>858</v>
      </c>
      <c r="D2" s="12" t="s">
        <v>859</v>
      </c>
      <c r="E2" s="13" t="s">
        <v>860</v>
      </c>
    </row>
    <row r="3" customFormat="false" ht="17.25" hidden="false" customHeight="true" outlineLevel="0" collapsed="false">
      <c r="A3" s="45" t="s">
        <v>479</v>
      </c>
      <c r="B3" s="12" t="s">
        <v>81</v>
      </c>
      <c r="C3" s="12" t="s">
        <v>861</v>
      </c>
      <c r="D3" s="12" t="s">
        <v>862</v>
      </c>
      <c r="E3" s="13" t="s">
        <v>860</v>
      </c>
    </row>
    <row r="4" customFormat="false" ht="28.5" hidden="false" customHeight="true" outlineLevel="0" collapsed="false">
      <c r="A4" s="20" t="s">
        <v>863</v>
      </c>
      <c r="B4" s="15" t="s">
        <v>119</v>
      </c>
      <c r="C4" s="15" t="s">
        <v>864</v>
      </c>
      <c r="D4" s="15" t="s">
        <v>865</v>
      </c>
      <c r="E4" s="16" t="s">
        <v>866</v>
      </c>
    </row>
    <row r="5" customFormat="false" ht="28.5" hidden="false" customHeight="true" outlineLevel="0" collapsed="false">
      <c r="A5" s="21" t="s">
        <v>867</v>
      </c>
      <c r="B5" s="18" t="s">
        <v>119</v>
      </c>
      <c r="C5" s="18" t="s">
        <v>868</v>
      </c>
      <c r="D5" s="18" t="s">
        <v>869</v>
      </c>
      <c r="E5" s="19" t="s">
        <v>866</v>
      </c>
    </row>
    <row r="6" customFormat="false" ht="17.25" hidden="false" customHeight="true" outlineLevel="0" collapsed="false">
      <c r="A6" s="20" t="s">
        <v>870</v>
      </c>
      <c r="B6" s="15" t="s">
        <v>123</v>
      </c>
      <c r="C6" s="15" t="s">
        <v>871</v>
      </c>
      <c r="D6" s="15" t="s">
        <v>872</v>
      </c>
      <c r="E6" s="16" t="s">
        <v>873</v>
      </c>
    </row>
    <row r="7" customFormat="false" ht="28.5" hidden="false" customHeight="true" outlineLevel="0" collapsed="false">
      <c r="A7" s="21" t="s">
        <v>874</v>
      </c>
      <c r="B7" s="18" t="s">
        <v>126</v>
      </c>
      <c r="C7" s="18" t="s">
        <v>875</v>
      </c>
      <c r="D7" s="18" t="s">
        <v>876</v>
      </c>
      <c r="E7" s="19" t="s">
        <v>873</v>
      </c>
    </row>
    <row r="8" customFormat="false" ht="28.5" hidden="false" customHeight="true" outlineLevel="0" collapsed="false">
      <c r="A8" s="20" t="s">
        <v>877</v>
      </c>
      <c r="B8" s="15" t="s">
        <v>132</v>
      </c>
      <c r="C8" s="15" t="s">
        <v>878</v>
      </c>
      <c r="D8" s="15" t="s">
        <v>879</v>
      </c>
      <c r="E8" s="16" t="s">
        <v>873</v>
      </c>
    </row>
    <row r="9" customFormat="false" ht="28.5" hidden="false" customHeight="true" outlineLevel="0" collapsed="false">
      <c r="A9" s="21" t="s">
        <v>880</v>
      </c>
      <c r="B9" s="18" t="s">
        <v>129</v>
      </c>
      <c r="C9" s="18" t="s">
        <v>881</v>
      </c>
      <c r="D9" s="18" t="s">
        <v>882</v>
      </c>
      <c r="E9" s="19" t="s">
        <v>873</v>
      </c>
    </row>
    <row r="10" customFormat="false" ht="28.5" hidden="false" customHeight="true" outlineLevel="0" collapsed="false">
      <c r="A10" s="20" t="s">
        <v>883</v>
      </c>
      <c r="B10" s="15" t="s">
        <v>95</v>
      </c>
      <c r="C10" s="15" t="s">
        <v>884</v>
      </c>
      <c r="D10" s="15" t="s">
        <v>885</v>
      </c>
      <c r="E10" s="16" t="s">
        <v>866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D1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0"/>
    <col collapsed="false" customWidth="true" hidden="false" outlineLevel="0" max="3" min="3" style="0" width="24"/>
    <col collapsed="false" customWidth="true" hidden="false" outlineLevel="0" max="4" min="4" style="0" width="18"/>
  </cols>
  <sheetData>
    <row r="1" customFormat="false" ht="30" hidden="false" customHeight="true" outlineLevel="0" collapsed="false">
      <c r="A1" s="10" t="s">
        <v>886</v>
      </c>
      <c r="B1" s="10" t="s">
        <v>887</v>
      </c>
      <c r="C1" s="10" t="s">
        <v>888</v>
      </c>
      <c r="D1" s="10" t="s">
        <v>889</v>
      </c>
    </row>
    <row r="2" customFormat="false" ht="28.5" hidden="false" customHeight="true" outlineLevel="0" collapsed="false">
      <c r="A2" s="20" t="s">
        <v>3</v>
      </c>
      <c r="B2" s="15" t="s">
        <v>890</v>
      </c>
      <c r="C2" s="15" t="s">
        <v>891</v>
      </c>
      <c r="D2" s="15" t="s">
        <v>892</v>
      </c>
    </row>
    <row r="3" customFormat="false" ht="28.5" hidden="false" customHeight="true" outlineLevel="0" collapsed="false">
      <c r="A3" s="21" t="s">
        <v>893</v>
      </c>
      <c r="B3" s="18" t="s">
        <v>894</v>
      </c>
      <c r="C3" s="18" t="s">
        <v>895</v>
      </c>
      <c r="D3" s="18" t="s">
        <v>204</v>
      </c>
    </row>
    <row r="4" customFormat="false" ht="28.5" hidden="false" customHeight="true" outlineLevel="0" collapsed="false">
      <c r="A4" s="20" t="s">
        <v>896</v>
      </c>
      <c r="B4" s="15" t="s">
        <v>897</v>
      </c>
      <c r="C4" s="15" t="s">
        <v>898</v>
      </c>
      <c r="D4" s="15" t="s">
        <v>209</v>
      </c>
    </row>
    <row r="5" customFormat="false" ht="28.5" hidden="false" customHeight="true" outlineLevel="0" collapsed="false">
      <c r="A5" s="21" t="s">
        <v>899</v>
      </c>
      <c r="B5" s="18" t="s">
        <v>900</v>
      </c>
      <c r="C5" s="18" t="s">
        <v>898</v>
      </c>
      <c r="D5" s="18" t="s">
        <v>209</v>
      </c>
    </row>
    <row r="6" customFormat="false" ht="28.5" hidden="false" customHeight="true" outlineLevel="0" collapsed="false">
      <c r="A6" s="20" t="s">
        <v>17</v>
      </c>
      <c r="B6" s="15" t="s">
        <v>901</v>
      </c>
      <c r="C6" s="15" t="s">
        <v>898</v>
      </c>
      <c r="D6" s="15" t="s">
        <v>268</v>
      </c>
    </row>
    <row r="7" customFormat="false" ht="28.5" hidden="false" customHeight="true" outlineLevel="0" collapsed="false">
      <c r="A7" s="21" t="s">
        <v>84</v>
      </c>
      <c r="B7" s="18" t="s">
        <v>902</v>
      </c>
      <c r="C7" s="18" t="s">
        <v>903</v>
      </c>
      <c r="D7" s="18" t="s">
        <v>562</v>
      </c>
    </row>
    <row r="8" customFormat="false" ht="17.25" hidden="false" customHeight="true" outlineLevel="0" collapsed="false">
      <c r="A8" s="20" t="s">
        <v>904</v>
      </c>
      <c r="B8" s="15" t="s">
        <v>905</v>
      </c>
      <c r="C8" s="15" t="s">
        <v>906</v>
      </c>
      <c r="D8" s="15" t="s">
        <v>562</v>
      </c>
    </row>
    <row r="9" customFormat="false" ht="28.5" hidden="false" customHeight="true" outlineLevel="0" collapsed="false">
      <c r="A9" s="21" t="s">
        <v>907</v>
      </c>
      <c r="B9" s="18" t="s">
        <v>908</v>
      </c>
      <c r="C9" s="18" t="s">
        <v>909</v>
      </c>
      <c r="D9" s="18" t="s">
        <v>264</v>
      </c>
    </row>
    <row r="10" customFormat="false" ht="17.25" hidden="false" customHeight="true" outlineLevel="0" collapsed="false">
      <c r="A10" s="20" t="s">
        <v>910</v>
      </c>
      <c r="B10" s="15" t="s">
        <v>911</v>
      </c>
      <c r="C10" s="15" t="s">
        <v>912</v>
      </c>
      <c r="D10" s="15" t="s">
        <v>264</v>
      </c>
    </row>
    <row r="11" customFormat="false" ht="28.5" hidden="false" customHeight="true" outlineLevel="0" collapsed="false">
      <c r="A11" s="21" t="s">
        <v>913</v>
      </c>
      <c r="B11" s="18" t="s">
        <v>914</v>
      </c>
      <c r="C11" s="18" t="s">
        <v>915</v>
      </c>
      <c r="D11" s="18" t="s">
        <v>268</v>
      </c>
    </row>
    <row r="12" customFormat="false" ht="28.5" hidden="false" customHeight="true" outlineLevel="0" collapsed="false">
      <c r="A12" s="20" t="s">
        <v>916</v>
      </c>
      <c r="B12" s="15" t="s">
        <v>917</v>
      </c>
      <c r="C12" s="15" t="s">
        <v>918</v>
      </c>
      <c r="D12" s="15" t="s">
        <v>249</v>
      </c>
    </row>
    <row r="13" customFormat="false" ht="28.5" hidden="false" customHeight="true" outlineLevel="0" collapsed="false">
      <c r="A13" s="21" t="s">
        <v>919</v>
      </c>
      <c r="B13" s="18" t="s">
        <v>920</v>
      </c>
      <c r="C13" s="18" t="s">
        <v>921</v>
      </c>
      <c r="D13" s="18" t="s">
        <v>236</v>
      </c>
    </row>
    <row r="14" customFormat="false" ht="17.25" hidden="false" customHeight="true" outlineLevel="0" collapsed="false">
      <c r="A14" s="20" t="s">
        <v>922</v>
      </c>
      <c r="B14" s="15" t="s">
        <v>923</v>
      </c>
      <c r="C14" s="15" t="s">
        <v>924</v>
      </c>
      <c r="D14" s="15" t="s">
        <v>213</v>
      </c>
    </row>
    <row r="15" customFormat="false" ht="17.25" hidden="false" customHeight="true" outlineLevel="0" collapsed="false">
      <c r="A15" s="21" t="s">
        <v>925</v>
      </c>
      <c r="B15" s="18" t="s">
        <v>926</v>
      </c>
      <c r="C15" s="18" t="s">
        <v>924</v>
      </c>
      <c r="D15" s="18" t="s">
        <v>213</v>
      </c>
    </row>
    <row r="16" customFormat="false" ht="28.5" hidden="false" customHeight="true" outlineLevel="0" collapsed="false">
      <c r="A16" s="20" t="s">
        <v>927</v>
      </c>
      <c r="B16" s="15" t="s">
        <v>928</v>
      </c>
      <c r="C16" s="15" t="s">
        <v>924</v>
      </c>
      <c r="D16" s="15" t="s">
        <v>401</v>
      </c>
    </row>
    <row r="17" customFormat="false" ht="28.5" hidden="false" customHeight="true" outlineLevel="0" collapsed="false">
      <c r="A17" s="21" t="s">
        <v>929</v>
      </c>
      <c r="B17" s="18" t="s">
        <v>930</v>
      </c>
      <c r="C17" s="18" t="s">
        <v>924</v>
      </c>
      <c r="D17" s="18" t="s">
        <v>213</v>
      </c>
    </row>
    <row r="18" customFormat="false" ht="28.5" hidden="false" customHeight="true" outlineLevel="0" collapsed="false">
      <c r="A18" s="20" t="s">
        <v>931</v>
      </c>
      <c r="B18" s="15" t="s">
        <v>932</v>
      </c>
      <c r="C18" s="15" t="s">
        <v>933</v>
      </c>
      <c r="D18" s="15" t="s">
        <v>222</v>
      </c>
    </row>
    <row r="19" customFormat="false" ht="28.5" hidden="false" customHeight="true" outlineLevel="0" collapsed="false">
      <c r="A19" s="21" t="s">
        <v>934</v>
      </c>
      <c r="B19" s="18" t="s">
        <v>935</v>
      </c>
      <c r="C19" s="18" t="s">
        <v>936</v>
      </c>
      <c r="D19" s="18" t="s">
        <v>720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D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50"/>
    <col collapsed="false" customWidth="true" hidden="false" outlineLevel="0" max="4" min="4" style="0" width="20"/>
  </cols>
  <sheetData>
    <row r="1" customFormat="false" ht="30" hidden="false" customHeight="true" outlineLevel="0" collapsed="false">
      <c r="A1" s="10" t="s">
        <v>937</v>
      </c>
      <c r="B1" s="10" t="s">
        <v>938</v>
      </c>
      <c r="C1" s="10" t="s">
        <v>939</v>
      </c>
      <c r="D1" s="10" t="s">
        <v>940</v>
      </c>
    </row>
    <row r="2" customFormat="false" ht="17.25" hidden="false" customHeight="true" outlineLevel="0" collapsed="false">
      <c r="A2" s="14" t="s">
        <v>941</v>
      </c>
      <c r="B2" s="15" t="s">
        <v>942</v>
      </c>
      <c r="C2" s="15" t="s">
        <v>943</v>
      </c>
      <c r="D2" s="15" t="s">
        <v>944</v>
      </c>
    </row>
    <row r="3" customFormat="false" ht="40.5" hidden="false" customHeight="true" outlineLevel="0" collapsed="false">
      <c r="A3" s="17" t="s">
        <v>945</v>
      </c>
      <c r="B3" s="18" t="s">
        <v>946</v>
      </c>
      <c r="C3" s="18" t="s">
        <v>947</v>
      </c>
      <c r="D3" s="18" t="s">
        <v>948</v>
      </c>
    </row>
    <row r="4" customFormat="false" ht="28.5" hidden="false" customHeight="true" outlineLevel="0" collapsed="false">
      <c r="A4" s="14" t="s">
        <v>949</v>
      </c>
      <c r="B4" s="15" t="s">
        <v>950</v>
      </c>
      <c r="C4" s="15" t="s">
        <v>951</v>
      </c>
      <c r="D4" s="15" t="s">
        <v>562</v>
      </c>
    </row>
    <row r="5" customFormat="false" ht="40.5" hidden="false" customHeight="true" outlineLevel="0" collapsed="false">
      <c r="A5" s="17" t="s">
        <v>952</v>
      </c>
      <c r="B5" s="18" t="s">
        <v>953</v>
      </c>
      <c r="C5" s="18" t="s">
        <v>954</v>
      </c>
      <c r="D5" s="18" t="s">
        <v>955</v>
      </c>
    </row>
    <row r="6" customFormat="false" ht="17.25" hidden="false" customHeight="true" outlineLevel="0" collapsed="false">
      <c r="A6" s="14" t="s">
        <v>956</v>
      </c>
      <c r="B6" s="15" t="s">
        <v>957</v>
      </c>
      <c r="C6" s="15" t="s">
        <v>958</v>
      </c>
      <c r="D6" s="15" t="s">
        <v>245</v>
      </c>
    </row>
    <row r="7" customFormat="false" ht="17.25" hidden="false" customHeight="true" outlineLevel="0" collapsed="false">
      <c r="A7" s="17" t="s">
        <v>959</v>
      </c>
      <c r="B7" s="18" t="s">
        <v>960</v>
      </c>
      <c r="C7" s="18" t="s">
        <v>961</v>
      </c>
      <c r="D7" s="18" t="s">
        <v>627</v>
      </c>
    </row>
    <row r="8" customFormat="false" ht="17.25" hidden="false" customHeight="true" outlineLevel="0" collapsed="false">
      <c r="A8" s="14" t="s">
        <v>962</v>
      </c>
      <c r="B8" s="15" t="s">
        <v>963</v>
      </c>
      <c r="C8" s="15" t="s">
        <v>964</v>
      </c>
      <c r="D8" s="15" t="s">
        <v>245</v>
      </c>
    </row>
    <row r="9" customFormat="false" ht="17.25" hidden="false" customHeight="true" outlineLevel="0" collapsed="false">
      <c r="A9" s="17" t="s">
        <v>965</v>
      </c>
      <c r="B9" s="18" t="s">
        <v>966</v>
      </c>
      <c r="C9" s="18" t="s">
        <v>967</v>
      </c>
      <c r="D9" s="18" t="s">
        <v>272</v>
      </c>
    </row>
    <row r="10" customFormat="false" ht="17.25" hidden="false" customHeight="true" outlineLevel="0" collapsed="false">
      <c r="A10" s="14" t="s">
        <v>968</v>
      </c>
      <c r="B10" s="15" t="s">
        <v>969</v>
      </c>
      <c r="C10" s="15" t="s">
        <v>970</v>
      </c>
      <c r="D10" s="15" t="s">
        <v>245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D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8"/>
    <col collapsed="false" customWidth="true" hidden="false" outlineLevel="0" max="3" min="3" style="0" width="22"/>
    <col collapsed="false" customWidth="true" hidden="false" outlineLevel="0" max="4" min="4" style="0" width="16"/>
  </cols>
  <sheetData>
    <row r="1" customFormat="false" ht="30" hidden="false" customHeight="true" outlineLevel="0" collapsed="false">
      <c r="A1" s="10" t="s">
        <v>971</v>
      </c>
      <c r="B1" s="10" t="s">
        <v>972</v>
      </c>
      <c r="C1" s="10" t="s">
        <v>973</v>
      </c>
      <c r="D1" s="10" t="s">
        <v>974</v>
      </c>
    </row>
    <row r="2" customFormat="false" ht="28.5" hidden="false" customHeight="true" outlineLevel="0" collapsed="false">
      <c r="A2" s="20" t="s">
        <v>975</v>
      </c>
      <c r="B2" s="15" t="s">
        <v>976</v>
      </c>
      <c r="C2" s="15" t="s">
        <v>119</v>
      </c>
      <c r="D2" s="16" t="s">
        <v>866</v>
      </c>
    </row>
    <row r="3" customFormat="false" ht="28.5" hidden="false" customHeight="true" outlineLevel="0" collapsed="false">
      <c r="A3" s="21" t="s">
        <v>977</v>
      </c>
      <c r="B3" s="18" t="s">
        <v>978</v>
      </c>
      <c r="C3" s="18" t="s">
        <v>979</v>
      </c>
      <c r="D3" s="19" t="s">
        <v>866</v>
      </c>
    </row>
    <row r="4" customFormat="false" ht="17.25" hidden="false" customHeight="true" outlineLevel="0" collapsed="false">
      <c r="A4" s="20" t="s">
        <v>980</v>
      </c>
      <c r="B4" s="15" t="s">
        <v>981</v>
      </c>
      <c r="C4" s="15" t="s">
        <v>126</v>
      </c>
      <c r="D4" s="16" t="s">
        <v>873</v>
      </c>
    </row>
    <row r="5" customFormat="false" ht="28.5" hidden="false" customHeight="true" outlineLevel="0" collapsed="false">
      <c r="A5" s="21" t="s">
        <v>982</v>
      </c>
      <c r="B5" s="18" t="s">
        <v>983</v>
      </c>
      <c r="C5" s="18" t="s">
        <v>95</v>
      </c>
      <c r="D5" s="19" t="s">
        <v>866</v>
      </c>
    </row>
    <row r="6" customFormat="false" ht="28.5" hidden="false" customHeight="true" outlineLevel="0" collapsed="false">
      <c r="A6" s="20" t="s">
        <v>984</v>
      </c>
      <c r="B6" s="15" t="s">
        <v>985</v>
      </c>
      <c r="C6" s="15" t="s">
        <v>101</v>
      </c>
      <c r="D6" s="16" t="s">
        <v>873</v>
      </c>
    </row>
    <row r="7" customFormat="false" ht="17.25" hidden="false" customHeight="true" outlineLevel="0" collapsed="false">
      <c r="A7" s="21" t="s">
        <v>986</v>
      </c>
      <c r="B7" s="18" t="s">
        <v>987</v>
      </c>
      <c r="C7" s="18" t="s">
        <v>119</v>
      </c>
      <c r="D7" s="19" t="s">
        <v>866</v>
      </c>
    </row>
    <row r="8" customFormat="false" ht="28.5" hidden="false" customHeight="true" outlineLevel="0" collapsed="false">
      <c r="A8" s="20" t="s">
        <v>988</v>
      </c>
      <c r="B8" s="15" t="s">
        <v>989</v>
      </c>
      <c r="C8" s="15" t="s">
        <v>119</v>
      </c>
      <c r="D8" s="16" t="s">
        <v>866</v>
      </c>
    </row>
    <row r="9" customFormat="false" ht="17.25" hidden="false" customHeight="true" outlineLevel="0" collapsed="false">
      <c r="A9" s="21" t="s">
        <v>990</v>
      </c>
      <c r="B9" s="18" t="s">
        <v>991</v>
      </c>
      <c r="C9" s="18" t="s">
        <v>98</v>
      </c>
      <c r="D9" s="19" t="s">
        <v>866</v>
      </c>
    </row>
    <row r="10" customFormat="false" ht="28.5" hidden="false" customHeight="true" outlineLevel="0" collapsed="false">
      <c r="A10" s="20" t="s">
        <v>992</v>
      </c>
      <c r="B10" s="15" t="s">
        <v>993</v>
      </c>
      <c r="C10" s="15" t="s">
        <v>994</v>
      </c>
      <c r="D10" s="16" t="s">
        <v>866</v>
      </c>
    </row>
    <row r="11" customFormat="false" ht="28.5" hidden="false" customHeight="true" outlineLevel="0" collapsed="false">
      <c r="A11" s="21" t="s">
        <v>995</v>
      </c>
      <c r="B11" s="18" t="s">
        <v>996</v>
      </c>
      <c r="C11" s="18" t="s">
        <v>132</v>
      </c>
      <c r="D11" s="19" t="s">
        <v>873</v>
      </c>
    </row>
    <row r="12" customFormat="false" ht="28.5" hidden="false" customHeight="true" outlineLevel="0" collapsed="false">
      <c r="A12" s="45" t="s">
        <v>997</v>
      </c>
      <c r="B12" s="12" t="s">
        <v>998</v>
      </c>
      <c r="C12" s="12" t="s">
        <v>999</v>
      </c>
      <c r="D12" s="13" t="s">
        <v>1000</v>
      </c>
    </row>
    <row r="13" customFormat="false" ht="28.5" hidden="false" customHeight="true" outlineLevel="0" collapsed="false">
      <c r="A13" s="21" t="s">
        <v>1001</v>
      </c>
      <c r="B13" s="18" t="s">
        <v>1002</v>
      </c>
      <c r="C13" s="18" t="s">
        <v>1003</v>
      </c>
      <c r="D13" s="19" t="s">
        <v>873</v>
      </c>
    </row>
    <row r="14" customFormat="false" ht="28.5" hidden="false" customHeight="true" outlineLevel="0" collapsed="false">
      <c r="A14" s="20" t="s">
        <v>1004</v>
      </c>
      <c r="B14" s="15" t="s">
        <v>1005</v>
      </c>
      <c r="C14" s="15" t="s">
        <v>1006</v>
      </c>
      <c r="D14" s="16" t="s">
        <v>873</v>
      </c>
    </row>
    <row r="15" customFormat="false" ht="28.5" hidden="false" customHeight="true" outlineLevel="0" collapsed="false">
      <c r="A15" s="21" t="s">
        <v>1007</v>
      </c>
      <c r="B15" s="18" t="s">
        <v>1008</v>
      </c>
      <c r="C15" s="18" t="s">
        <v>1009</v>
      </c>
      <c r="D15" s="19" t="s">
        <v>866</v>
      </c>
    </row>
    <row r="16" customFormat="false" ht="28.5" hidden="false" customHeight="true" outlineLevel="0" collapsed="false">
      <c r="A16" s="20" t="s">
        <v>1010</v>
      </c>
      <c r="B16" s="15" t="s">
        <v>1011</v>
      </c>
      <c r="C16" s="15" t="s">
        <v>1012</v>
      </c>
      <c r="D16" s="16" t="s">
        <v>866</v>
      </c>
    </row>
    <row r="17" customFormat="false" ht="28.5" hidden="false" customHeight="true" outlineLevel="0" collapsed="false">
      <c r="A17" s="45" t="s">
        <v>1013</v>
      </c>
      <c r="B17" s="12" t="s">
        <v>1014</v>
      </c>
      <c r="C17" s="12" t="s">
        <v>70</v>
      </c>
      <c r="D17" s="13" t="s">
        <v>860</v>
      </c>
    </row>
    <row r="18" customFormat="false" ht="28.5" hidden="false" customHeight="true" outlineLevel="0" collapsed="false">
      <c r="A18" s="20" t="s">
        <v>1015</v>
      </c>
      <c r="B18" s="15" t="s">
        <v>1016</v>
      </c>
      <c r="C18" s="15" t="s">
        <v>110</v>
      </c>
      <c r="D18" s="16" t="s">
        <v>1017</v>
      </c>
    </row>
    <row r="19" customFormat="false" ht="28.5" hidden="false" customHeight="true" outlineLevel="0" collapsed="false">
      <c r="A19" s="45" t="s">
        <v>1018</v>
      </c>
      <c r="B19" s="12" t="s">
        <v>1019</v>
      </c>
      <c r="C19" s="12" t="s">
        <v>70</v>
      </c>
      <c r="D19" s="13" t="s">
        <v>860</v>
      </c>
    </row>
    <row r="20" customFormat="false" ht="17.25" hidden="false" customHeight="true" outlineLevel="0" collapsed="false">
      <c r="A20" s="20" t="s">
        <v>1020</v>
      </c>
      <c r="B20" s="15" t="s">
        <v>1021</v>
      </c>
      <c r="C20" s="15" t="s">
        <v>1022</v>
      </c>
      <c r="D20" s="16" t="s">
        <v>873</v>
      </c>
    </row>
    <row r="21" customFormat="false" ht="28.5" hidden="false" customHeight="true" outlineLevel="0" collapsed="false">
      <c r="A21" s="21" t="s">
        <v>1023</v>
      </c>
      <c r="B21" s="18" t="s">
        <v>1024</v>
      </c>
      <c r="C21" s="18" t="s">
        <v>98</v>
      </c>
      <c r="D21" s="19" t="s">
        <v>866</v>
      </c>
    </row>
    <row r="22" customFormat="false" ht="28.5" hidden="false" customHeight="true" outlineLevel="0" collapsed="false">
      <c r="A22" s="45" t="s">
        <v>1025</v>
      </c>
      <c r="B22" s="12" t="s">
        <v>1026</v>
      </c>
      <c r="C22" s="12" t="s">
        <v>1027</v>
      </c>
      <c r="D22" s="13" t="s">
        <v>1000</v>
      </c>
    </row>
    <row r="23" customFormat="false" ht="28.5" hidden="false" customHeight="true" outlineLevel="0" collapsed="false">
      <c r="A23" s="21" t="s">
        <v>1028</v>
      </c>
      <c r="B23" s="18" t="s">
        <v>1029</v>
      </c>
      <c r="C23" s="18" t="s">
        <v>123</v>
      </c>
      <c r="D23" s="19" t="s">
        <v>873</v>
      </c>
    </row>
    <row r="24" customFormat="false" ht="28.5" hidden="false" customHeight="true" outlineLevel="0" collapsed="false">
      <c r="A24" s="20" t="s">
        <v>1030</v>
      </c>
      <c r="B24" s="15" t="s">
        <v>1031</v>
      </c>
      <c r="C24" s="15" t="s">
        <v>119</v>
      </c>
      <c r="D24" s="16" t="s">
        <v>873</v>
      </c>
    </row>
    <row r="25" customFormat="false" ht="28.5" hidden="false" customHeight="true" outlineLevel="0" collapsed="false">
      <c r="A25" s="21" t="s">
        <v>1032</v>
      </c>
      <c r="B25" s="18" t="s">
        <v>1033</v>
      </c>
      <c r="C25" s="18" t="s">
        <v>129</v>
      </c>
      <c r="D25" s="19" t="s">
        <v>873</v>
      </c>
    </row>
    <row r="26" customFormat="false" ht="28.5" hidden="false" customHeight="true" outlineLevel="0" collapsed="false">
      <c r="A26" s="20" t="s">
        <v>1034</v>
      </c>
      <c r="B26" s="15" t="s">
        <v>1035</v>
      </c>
      <c r="C26" s="15" t="s">
        <v>126</v>
      </c>
      <c r="D26" s="16" t="s">
        <v>873</v>
      </c>
    </row>
    <row r="27" customFormat="false" ht="28.5" hidden="false" customHeight="true" outlineLevel="0" collapsed="false">
      <c r="A27" s="45" t="s">
        <v>1036</v>
      </c>
      <c r="B27" s="12" t="s">
        <v>1037</v>
      </c>
      <c r="C27" s="12" t="s">
        <v>1038</v>
      </c>
      <c r="D27" s="13" t="s">
        <v>1039</v>
      </c>
    </row>
    <row r="28" customFormat="false" ht="28.5" hidden="false" customHeight="true" outlineLevel="0" collapsed="false">
      <c r="A28" s="20" t="s">
        <v>1040</v>
      </c>
      <c r="B28" s="15" t="s">
        <v>1041</v>
      </c>
      <c r="C28" s="15" t="s">
        <v>95</v>
      </c>
      <c r="D28" s="16" t="s">
        <v>866</v>
      </c>
    </row>
    <row r="29" customFormat="false" ht="28.5" hidden="false" customHeight="true" outlineLevel="0" collapsed="false">
      <c r="A29" s="21" t="s">
        <v>1042</v>
      </c>
      <c r="B29" s="18" t="s">
        <v>1043</v>
      </c>
      <c r="C29" s="18" t="s">
        <v>119</v>
      </c>
      <c r="D29" s="19" t="s">
        <v>866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C2A21"/>
    <pageSetUpPr fitToPage="true"/>
  </sheetPr>
  <dimension ref="A1:F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12"/>
    <col collapsed="false" customWidth="true" hidden="false" outlineLevel="0" max="4" min="4" style="0" width="48"/>
    <col collapsed="false" customWidth="true" hidden="false" outlineLevel="0" max="5" min="5" style="0" width="52"/>
    <col collapsed="false" customWidth="true" hidden="false" outlineLevel="0" max="6" min="6" style="0" width="18"/>
  </cols>
  <sheetData>
    <row r="1" customFormat="false" ht="30" hidden="false" customHeight="true" outlineLevel="0" collapsed="false">
      <c r="A1" s="10" t="s">
        <v>64</v>
      </c>
      <c r="B1" s="10" t="s">
        <v>1044</v>
      </c>
      <c r="C1" s="10" t="s">
        <v>1045</v>
      </c>
      <c r="D1" s="10" t="s">
        <v>1046</v>
      </c>
      <c r="E1" s="10" t="s">
        <v>1047</v>
      </c>
      <c r="F1" s="10" t="s">
        <v>940</v>
      </c>
    </row>
    <row r="2" customFormat="false" ht="28.5" hidden="false" customHeight="true" outlineLevel="0" collapsed="false">
      <c r="A2" s="14" t="n">
        <v>1</v>
      </c>
      <c r="B2" s="15" t="s">
        <v>1048</v>
      </c>
      <c r="C2" s="22" t="s">
        <v>217</v>
      </c>
      <c r="D2" s="15" t="s">
        <v>1049</v>
      </c>
      <c r="E2" s="15" t="s">
        <v>1050</v>
      </c>
      <c r="F2" s="15" t="s">
        <v>1051</v>
      </c>
    </row>
    <row r="3" customFormat="false" ht="40.5" hidden="false" customHeight="true" outlineLevel="0" collapsed="false">
      <c r="A3" s="17" t="n">
        <v>2</v>
      </c>
      <c r="B3" s="18" t="s">
        <v>1052</v>
      </c>
      <c r="C3" s="24" t="s">
        <v>230</v>
      </c>
      <c r="D3" s="18" t="s">
        <v>1053</v>
      </c>
      <c r="E3" s="18" t="s">
        <v>1054</v>
      </c>
      <c r="F3" s="18" t="s">
        <v>1055</v>
      </c>
    </row>
    <row r="4" customFormat="false" ht="28.5" hidden="false" customHeight="true" outlineLevel="0" collapsed="false">
      <c r="A4" s="14" t="n">
        <v>3</v>
      </c>
      <c r="B4" s="15" t="s">
        <v>1056</v>
      </c>
      <c r="C4" s="24" t="s">
        <v>230</v>
      </c>
      <c r="D4" s="15" t="s">
        <v>1057</v>
      </c>
      <c r="E4" s="15" t="s">
        <v>1058</v>
      </c>
      <c r="F4" s="15" t="s">
        <v>249</v>
      </c>
    </row>
    <row r="5" customFormat="false" ht="28.5" hidden="false" customHeight="true" outlineLevel="0" collapsed="false">
      <c r="A5" s="17" t="n">
        <v>4</v>
      </c>
      <c r="B5" s="18" t="s">
        <v>1059</v>
      </c>
      <c r="C5" s="24" t="s">
        <v>230</v>
      </c>
      <c r="D5" s="18" t="s">
        <v>1060</v>
      </c>
      <c r="E5" s="18" t="s">
        <v>1061</v>
      </c>
      <c r="F5" s="18" t="s">
        <v>1062</v>
      </c>
    </row>
    <row r="6" customFormat="false" ht="28.5" hidden="false" customHeight="true" outlineLevel="0" collapsed="false">
      <c r="A6" s="14" t="n">
        <v>5</v>
      </c>
      <c r="B6" s="15" t="s">
        <v>1063</v>
      </c>
      <c r="C6" s="24" t="s">
        <v>230</v>
      </c>
      <c r="D6" s="15" t="s">
        <v>1064</v>
      </c>
      <c r="E6" s="15" t="s">
        <v>1065</v>
      </c>
      <c r="F6" s="15" t="s">
        <v>1066</v>
      </c>
    </row>
    <row r="7" customFormat="false" ht="28.5" hidden="false" customHeight="true" outlineLevel="0" collapsed="false">
      <c r="A7" s="17" t="n">
        <v>6</v>
      </c>
      <c r="B7" s="18" t="s">
        <v>1067</v>
      </c>
      <c r="C7" s="24" t="s">
        <v>230</v>
      </c>
      <c r="D7" s="18" t="s">
        <v>1068</v>
      </c>
      <c r="E7" s="18" t="s">
        <v>1069</v>
      </c>
      <c r="F7" s="18" t="s">
        <v>1070</v>
      </c>
    </row>
    <row r="8" customFormat="false" ht="28.5" hidden="false" customHeight="true" outlineLevel="0" collapsed="false">
      <c r="A8" s="14" t="n">
        <v>7</v>
      </c>
      <c r="B8" s="15" t="s">
        <v>1071</v>
      </c>
      <c r="C8" s="13" t="s">
        <v>523</v>
      </c>
      <c r="D8" s="15" t="s">
        <v>1072</v>
      </c>
      <c r="E8" s="15" t="s">
        <v>1073</v>
      </c>
      <c r="F8" s="15" t="s">
        <v>1074</v>
      </c>
    </row>
    <row r="9" customFormat="false" ht="28.5" hidden="false" customHeight="true" outlineLevel="0" collapsed="false">
      <c r="A9" s="17" t="n">
        <v>8</v>
      </c>
      <c r="B9" s="18" t="s">
        <v>1075</v>
      </c>
      <c r="C9" s="24" t="s">
        <v>230</v>
      </c>
      <c r="D9" s="18" t="s">
        <v>1076</v>
      </c>
      <c r="E9" s="18" t="s">
        <v>1077</v>
      </c>
      <c r="F9" s="18" t="s">
        <v>690</v>
      </c>
    </row>
    <row r="10" customFormat="false" ht="28.5" hidden="false" customHeight="true" outlineLevel="0" collapsed="false">
      <c r="A10" s="14" t="n">
        <v>9</v>
      </c>
      <c r="B10" s="15" t="s">
        <v>1078</v>
      </c>
      <c r="C10" s="13" t="s">
        <v>523</v>
      </c>
      <c r="D10" s="15" t="s">
        <v>1079</v>
      </c>
      <c r="E10" s="15" t="s">
        <v>1080</v>
      </c>
      <c r="F10" s="15" t="s">
        <v>254</v>
      </c>
    </row>
    <row r="11" customFormat="false" ht="28.5" hidden="false" customHeight="true" outlineLevel="0" collapsed="false">
      <c r="A11" s="17" t="n">
        <v>10</v>
      </c>
      <c r="B11" s="18" t="s">
        <v>1081</v>
      </c>
      <c r="C11" s="24" t="s">
        <v>230</v>
      </c>
      <c r="D11" s="18" t="s">
        <v>1082</v>
      </c>
      <c r="E11" s="18" t="s">
        <v>1083</v>
      </c>
      <c r="F11" s="18" t="s">
        <v>489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N10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8"/>
    <col collapsed="false" customWidth="true" hidden="false" outlineLevel="0" max="5" min="5" style="0" width="60"/>
    <col collapsed="false" customWidth="true" hidden="false" outlineLevel="0" max="14" min="6" style="0" width="18"/>
  </cols>
  <sheetData>
    <row r="1" customFormat="false" ht="25.5" hidden="false" customHeight="true" outlineLevel="0" collapsed="false">
      <c r="A1" s="10" t="s">
        <v>1084</v>
      </c>
      <c r="B1" s="10" t="s">
        <v>1085</v>
      </c>
      <c r="C1" s="10" t="s">
        <v>1086</v>
      </c>
      <c r="D1" s="10" t="s">
        <v>1087</v>
      </c>
      <c r="E1" s="10" t="s">
        <v>1088</v>
      </c>
      <c r="F1" s="10" t="s">
        <v>1089</v>
      </c>
      <c r="G1" s="10" t="s">
        <v>186</v>
      </c>
      <c r="H1" s="10" t="s">
        <v>1090</v>
      </c>
      <c r="I1" s="10" t="s">
        <v>1091</v>
      </c>
      <c r="J1" s="10" t="s">
        <v>1092</v>
      </c>
      <c r="K1" s="10" t="s">
        <v>1093</v>
      </c>
      <c r="L1" s="10" t="s">
        <v>1094</v>
      </c>
      <c r="M1" s="10" t="s">
        <v>1095</v>
      </c>
      <c r="N1" s="10" t="s">
        <v>1096</v>
      </c>
    </row>
    <row r="2" customFormat="false" ht="12.75" hidden="false" customHeight="true" outlineLevel="0" collapsed="false">
      <c r="A2" s="46" t="n">
        <v>1</v>
      </c>
      <c r="B2" s="46" t="s">
        <v>147</v>
      </c>
      <c r="C2" s="46" t="s">
        <v>180</v>
      </c>
      <c r="D2" s="46" t="s">
        <v>1097</v>
      </c>
      <c r="E2" s="47" t="s">
        <v>1098</v>
      </c>
      <c r="F2" s="46" t="s">
        <v>1099</v>
      </c>
      <c r="G2" s="46" t="s">
        <v>217</v>
      </c>
      <c r="H2" s="46"/>
      <c r="I2" s="46" t="s">
        <v>147</v>
      </c>
      <c r="J2" s="46"/>
      <c r="K2" s="46"/>
      <c r="L2" s="46" t="s">
        <v>1100</v>
      </c>
      <c r="M2" s="46" t="s">
        <v>1101</v>
      </c>
      <c r="N2" s="46"/>
    </row>
    <row r="3" customFormat="false" ht="12.75" hidden="false" customHeight="true" outlineLevel="0" collapsed="false">
      <c r="A3" s="46" t="n">
        <v>2</v>
      </c>
      <c r="B3" s="46" t="s">
        <v>151</v>
      </c>
      <c r="C3" s="46" t="s">
        <v>180</v>
      </c>
      <c r="D3" s="46" t="s">
        <v>1102</v>
      </c>
      <c r="E3" s="47" t="s">
        <v>1103</v>
      </c>
      <c r="F3" s="46" t="s">
        <v>1099</v>
      </c>
      <c r="G3" s="46" t="s">
        <v>217</v>
      </c>
      <c r="H3" s="46"/>
      <c r="I3" s="46" t="s">
        <v>151</v>
      </c>
      <c r="J3" s="46"/>
      <c r="K3" s="46"/>
      <c r="L3" s="46" t="s">
        <v>1100</v>
      </c>
      <c r="M3" s="46" t="s">
        <v>1101</v>
      </c>
      <c r="N3" s="46"/>
    </row>
    <row r="4" customFormat="false" ht="12.75" hidden="false" customHeight="true" outlineLevel="0" collapsed="false">
      <c r="A4" s="46" t="n">
        <v>3</v>
      </c>
      <c r="B4" s="46" t="s">
        <v>154</v>
      </c>
      <c r="C4" s="46" t="s">
        <v>180</v>
      </c>
      <c r="D4" s="46" t="s">
        <v>1104</v>
      </c>
      <c r="E4" s="47" t="s">
        <v>1105</v>
      </c>
      <c r="F4" s="46" t="s">
        <v>1099</v>
      </c>
      <c r="G4" s="46" t="s">
        <v>217</v>
      </c>
      <c r="H4" s="46"/>
      <c r="I4" s="46" t="s">
        <v>154</v>
      </c>
      <c r="J4" s="46"/>
      <c r="K4" s="46"/>
      <c r="L4" s="46" t="s">
        <v>1100</v>
      </c>
      <c r="M4" s="46" t="s">
        <v>1101</v>
      </c>
      <c r="N4" s="46"/>
    </row>
    <row r="5" customFormat="false" ht="12.75" hidden="false" customHeight="true" outlineLevel="0" collapsed="false">
      <c r="A5" s="46" t="n">
        <v>4</v>
      </c>
      <c r="B5" s="46" t="s">
        <v>158</v>
      </c>
      <c r="C5" s="46" t="s">
        <v>180</v>
      </c>
      <c r="D5" s="46" t="s">
        <v>1106</v>
      </c>
      <c r="E5" s="47" t="s">
        <v>1107</v>
      </c>
      <c r="F5" s="46" t="s">
        <v>1099</v>
      </c>
      <c r="G5" s="46" t="s">
        <v>217</v>
      </c>
      <c r="H5" s="46"/>
      <c r="I5" s="46" t="s">
        <v>158</v>
      </c>
      <c r="J5" s="46"/>
      <c r="K5" s="46"/>
      <c r="L5" s="46" t="s">
        <v>1100</v>
      </c>
      <c r="M5" s="46" t="s">
        <v>1101</v>
      </c>
      <c r="N5" s="46"/>
    </row>
    <row r="6" customFormat="false" ht="12.75" hidden="false" customHeight="true" outlineLevel="0" collapsed="false">
      <c r="A6" s="46" t="n">
        <v>5</v>
      </c>
      <c r="B6" s="46" t="s">
        <v>162</v>
      </c>
      <c r="C6" s="46" t="s">
        <v>180</v>
      </c>
      <c r="D6" s="46" t="s">
        <v>1108</v>
      </c>
      <c r="E6" s="47" t="s">
        <v>1109</v>
      </c>
      <c r="F6" s="46" t="s">
        <v>1099</v>
      </c>
      <c r="G6" s="46" t="s">
        <v>217</v>
      </c>
      <c r="H6" s="46"/>
      <c r="I6" s="46" t="s">
        <v>162</v>
      </c>
      <c r="J6" s="46"/>
      <c r="K6" s="46"/>
      <c r="L6" s="46" t="s">
        <v>1100</v>
      </c>
      <c r="M6" s="46" t="s">
        <v>1101</v>
      </c>
      <c r="N6" s="46"/>
    </row>
    <row r="7" customFormat="false" ht="12.75" hidden="false" customHeight="true" outlineLevel="0" collapsed="false">
      <c r="A7" s="46" t="n">
        <v>6</v>
      </c>
      <c r="B7" s="46" t="s">
        <v>166</v>
      </c>
      <c r="C7" s="46" t="s">
        <v>180</v>
      </c>
      <c r="D7" s="46" t="s">
        <v>1110</v>
      </c>
      <c r="E7" s="47" t="s">
        <v>1111</v>
      </c>
      <c r="F7" s="46" t="s">
        <v>1099</v>
      </c>
      <c r="G7" s="46" t="s">
        <v>217</v>
      </c>
      <c r="H7" s="46"/>
      <c r="I7" s="46" t="s">
        <v>166</v>
      </c>
      <c r="J7" s="46"/>
      <c r="K7" s="46"/>
      <c r="L7" s="46" t="s">
        <v>1100</v>
      </c>
      <c r="M7" s="46" t="s">
        <v>1101</v>
      </c>
      <c r="N7" s="46"/>
    </row>
    <row r="8" customFormat="false" ht="12.75" hidden="false" customHeight="true" outlineLevel="0" collapsed="false">
      <c r="A8" s="46" t="n">
        <v>7</v>
      </c>
      <c r="B8" s="46" t="s">
        <v>170</v>
      </c>
      <c r="C8" s="46" t="s">
        <v>180</v>
      </c>
      <c r="D8" s="46" t="s">
        <v>1112</v>
      </c>
      <c r="E8" s="47" t="s">
        <v>1113</v>
      </c>
      <c r="F8" s="46" t="s">
        <v>1099</v>
      </c>
      <c r="G8" s="46" t="s">
        <v>217</v>
      </c>
      <c r="H8" s="46"/>
      <c r="I8" s="46" t="s">
        <v>170</v>
      </c>
      <c r="J8" s="46"/>
      <c r="K8" s="46"/>
      <c r="L8" s="46" t="s">
        <v>1100</v>
      </c>
      <c r="M8" s="46" t="s">
        <v>1101</v>
      </c>
      <c r="N8" s="46"/>
    </row>
    <row r="9" customFormat="false" ht="12.75" hidden="false" customHeight="true" outlineLevel="0" collapsed="false">
      <c r="A9" s="46" t="n">
        <v>8</v>
      </c>
      <c r="B9" s="46" t="s">
        <v>174</v>
      </c>
      <c r="C9" s="46" t="s">
        <v>180</v>
      </c>
      <c r="D9" s="46" t="s">
        <v>1114</v>
      </c>
      <c r="E9" s="47" t="s">
        <v>1115</v>
      </c>
      <c r="F9" s="46" t="s">
        <v>1099</v>
      </c>
      <c r="G9" s="46" t="s">
        <v>217</v>
      </c>
      <c r="H9" s="46"/>
      <c r="I9" s="46" t="s">
        <v>174</v>
      </c>
      <c r="J9" s="46"/>
      <c r="K9" s="46"/>
      <c r="L9" s="46" t="s">
        <v>1100</v>
      </c>
      <c r="M9" s="46" t="s">
        <v>1101</v>
      </c>
      <c r="N9" s="46"/>
    </row>
    <row r="10" customFormat="false" ht="12.75" hidden="false" customHeight="true" outlineLevel="0" collapsed="false">
      <c r="A10" s="46" t="n">
        <v>9</v>
      </c>
      <c r="B10" s="46" t="s">
        <v>189</v>
      </c>
      <c r="C10" s="46" t="s">
        <v>1116</v>
      </c>
      <c r="D10" s="46" t="s">
        <v>1117</v>
      </c>
      <c r="E10" s="47" t="s">
        <v>1118</v>
      </c>
      <c r="F10" s="46" t="s">
        <v>1099</v>
      </c>
      <c r="G10" s="46" t="s">
        <v>197</v>
      </c>
      <c r="H10" s="46" t="n">
        <v>5</v>
      </c>
      <c r="I10" s="46"/>
      <c r="J10" s="46" t="s">
        <v>147</v>
      </c>
      <c r="K10" s="46" t="s">
        <v>1119</v>
      </c>
      <c r="L10" s="46" t="s">
        <v>1100</v>
      </c>
      <c r="M10" s="46" t="s">
        <v>1120</v>
      </c>
      <c r="N10" s="46"/>
    </row>
    <row r="11" customFormat="false" ht="12.75" hidden="false" customHeight="true" outlineLevel="0" collapsed="false">
      <c r="A11" s="46" t="n">
        <v>10</v>
      </c>
      <c r="B11" s="46" t="s">
        <v>199</v>
      </c>
      <c r="C11" s="46" t="s">
        <v>1116</v>
      </c>
      <c r="D11" s="46" t="s">
        <v>1121</v>
      </c>
      <c r="E11" s="47" t="s">
        <v>1122</v>
      </c>
      <c r="F11" s="46" t="s">
        <v>1099</v>
      </c>
      <c r="G11" s="46" t="s">
        <v>197</v>
      </c>
      <c r="H11" s="46" t="n">
        <v>5</v>
      </c>
      <c r="I11" s="46"/>
      <c r="J11" s="46" t="s">
        <v>147</v>
      </c>
      <c r="K11" s="46" t="s">
        <v>1119</v>
      </c>
      <c r="L11" s="46" t="s">
        <v>1100</v>
      </c>
      <c r="M11" s="46" t="s">
        <v>1120</v>
      </c>
      <c r="N11" s="46" t="s">
        <v>1123</v>
      </c>
    </row>
    <row r="12" customFormat="false" ht="12.75" hidden="false" customHeight="true" outlineLevel="0" collapsed="false">
      <c r="A12" s="46" t="n">
        <v>11</v>
      </c>
      <c r="B12" s="46" t="s">
        <v>204</v>
      </c>
      <c r="C12" s="46" t="s">
        <v>1116</v>
      </c>
      <c r="D12" s="46" t="s">
        <v>1124</v>
      </c>
      <c r="E12" s="47" t="s">
        <v>1125</v>
      </c>
      <c r="F12" s="46" t="s">
        <v>1099</v>
      </c>
      <c r="G12" s="46" t="s">
        <v>197</v>
      </c>
      <c r="H12" s="46" t="n">
        <v>3</v>
      </c>
      <c r="I12" s="46"/>
      <c r="J12" s="46" t="s">
        <v>147</v>
      </c>
      <c r="K12" s="46" t="s">
        <v>1119</v>
      </c>
      <c r="L12" s="46" t="s">
        <v>1100</v>
      </c>
      <c r="M12" s="46" t="s">
        <v>1120</v>
      </c>
      <c r="N12" s="46" t="s">
        <v>1126</v>
      </c>
    </row>
    <row r="13" customFormat="false" ht="12.75" hidden="false" customHeight="true" outlineLevel="0" collapsed="false">
      <c r="A13" s="46" t="n">
        <v>12</v>
      </c>
      <c r="B13" s="46" t="s">
        <v>209</v>
      </c>
      <c r="C13" s="46" t="s">
        <v>1116</v>
      </c>
      <c r="D13" s="46" t="s">
        <v>1127</v>
      </c>
      <c r="E13" s="47" t="s">
        <v>1128</v>
      </c>
      <c r="F13" s="46" t="s">
        <v>1099</v>
      </c>
      <c r="G13" s="46" t="s">
        <v>197</v>
      </c>
      <c r="H13" s="46" t="n">
        <v>3</v>
      </c>
      <c r="I13" s="46"/>
      <c r="J13" s="46" t="s">
        <v>147</v>
      </c>
      <c r="K13" s="46" t="s">
        <v>1119</v>
      </c>
      <c r="L13" s="46" t="s">
        <v>1100</v>
      </c>
      <c r="M13" s="46" t="s">
        <v>1120</v>
      </c>
      <c r="N13" s="46" t="s">
        <v>1126</v>
      </c>
    </row>
    <row r="14" customFormat="false" ht="12.75" hidden="false" customHeight="true" outlineLevel="0" collapsed="false">
      <c r="A14" s="46" t="n">
        <v>13</v>
      </c>
      <c r="B14" s="46" t="s">
        <v>213</v>
      </c>
      <c r="C14" s="46" t="s">
        <v>1116</v>
      </c>
      <c r="D14" s="46" t="s">
        <v>1129</v>
      </c>
      <c r="E14" s="47" t="s">
        <v>1130</v>
      </c>
      <c r="F14" s="46" t="s">
        <v>1099</v>
      </c>
      <c r="G14" s="46" t="s">
        <v>217</v>
      </c>
      <c r="H14" s="46" t="n">
        <v>3</v>
      </c>
      <c r="I14" s="46"/>
      <c r="J14" s="46" t="s">
        <v>147</v>
      </c>
      <c r="K14" s="46" t="s">
        <v>1119</v>
      </c>
      <c r="L14" s="46" t="s">
        <v>1100</v>
      </c>
      <c r="M14" s="46" t="s">
        <v>1120</v>
      </c>
      <c r="N14" s="46" t="s">
        <v>1126</v>
      </c>
    </row>
    <row r="15" customFormat="false" ht="12.75" hidden="false" customHeight="true" outlineLevel="0" collapsed="false">
      <c r="A15" s="46" t="n">
        <v>14</v>
      </c>
      <c r="B15" s="46" t="s">
        <v>218</v>
      </c>
      <c r="C15" s="46" t="s">
        <v>1116</v>
      </c>
      <c r="D15" s="46" t="s">
        <v>1131</v>
      </c>
      <c r="E15" s="47" t="s">
        <v>1132</v>
      </c>
      <c r="F15" s="46" t="s">
        <v>1099</v>
      </c>
      <c r="G15" s="46" t="s">
        <v>217</v>
      </c>
      <c r="H15" s="46" t="n">
        <v>5</v>
      </c>
      <c r="I15" s="46"/>
      <c r="J15" s="46" t="s">
        <v>147</v>
      </c>
      <c r="K15" s="46" t="s">
        <v>1119</v>
      </c>
      <c r="L15" s="46" t="s">
        <v>1100</v>
      </c>
      <c r="M15" s="46" t="s">
        <v>1120</v>
      </c>
      <c r="N15" s="46" t="s">
        <v>1123</v>
      </c>
    </row>
    <row r="16" customFormat="false" ht="12.75" hidden="false" customHeight="true" outlineLevel="0" collapsed="false">
      <c r="A16" s="46" t="n">
        <v>15</v>
      </c>
      <c r="B16" s="46" t="s">
        <v>222</v>
      </c>
      <c r="C16" s="46" t="s">
        <v>1116</v>
      </c>
      <c r="D16" s="46" t="s">
        <v>1133</v>
      </c>
      <c r="E16" s="47" t="s">
        <v>1134</v>
      </c>
      <c r="F16" s="46" t="s">
        <v>1099</v>
      </c>
      <c r="G16" s="46" t="s">
        <v>217</v>
      </c>
      <c r="H16" s="46" t="n">
        <v>3</v>
      </c>
      <c r="I16" s="46"/>
      <c r="J16" s="46" t="s">
        <v>147</v>
      </c>
      <c r="K16" s="46" t="s">
        <v>1119</v>
      </c>
      <c r="L16" s="46" t="s">
        <v>1100</v>
      </c>
      <c r="M16" s="46" t="s">
        <v>1120</v>
      </c>
      <c r="N16" s="46" t="s">
        <v>1123</v>
      </c>
    </row>
    <row r="17" customFormat="false" ht="12.75" hidden="false" customHeight="true" outlineLevel="0" collapsed="false">
      <c r="A17" s="46" t="n">
        <v>16</v>
      </c>
      <c r="B17" s="46" t="s">
        <v>226</v>
      </c>
      <c r="C17" s="46" t="s">
        <v>1116</v>
      </c>
      <c r="D17" s="46" t="s">
        <v>1135</v>
      </c>
      <c r="E17" s="47" t="s">
        <v>1136</v>
      </c>
      <c r="F17" s="46" t="s">
        <v>1099</v>
      </c>
      <c r="G17" s="46" t="s">
        <v>230</v>
      </c>
      <c r="H17" s="46" t="n">
        <v>3</v>
      </c>
      <c r="I17" s="46"/>
      <c r="J17" s="46" t="s">
        <v>147</v>
      </c>
      <c r="K17" s="46" t="s">
        <v>1119</v>
      </c>
      <c r="L17" s="46" t="s">
        <v>1100</v>
      </c>
      <c r="M17" s="46" t="s">
        <v>1120</v>
      </c>
      <c r="N17" s="46" t="s">
        <v>1123</v>
      </c>
    </row>
    <row r="18" customFormat="false" ht="12.75" hidden="false" customHeight="true" outlineLevel="0" collapsed="false">
      <c r="A18" s="46" t="n">
        <v>17</v>
      </c>
      <c r="B18" s="46" t="s">
        <v>231</v>
      </c>
      <c r="C18" s="46" t="s">
        <v>1137</v>
      </c>
      <c r="D18" s="46" t="s">
        <v>1138</v>
      </c>
      <c r="E18" s="47" t="s">
        <v>1139</v>
      </c>
      <c r="F18" s="46" t="s">
        <v>1099</v>
      </c>
      <c r="G18" s="46" t="s">
        <v>197</v>
      </c>
      <c r="H18" s="46" t="n">
        <v>1</v>
      </c>
      <c r="I18" s="46"/>
      <c r="J18" s="46" t="s">
        <v>147</v>
      </c>
      <c r="K18" s="46" t="s">
        <v>1119</v>
      </c>
      <c r="L18" s="46" t="s">
        <v>1100</v>
      </c>
      <c r="M18" s="46" t="s">
        <v>1140</v>
      </c>
      <c r="N18" s="46" t="s">
        <v>1141</v>
      </c>
    </row>
    <row r="19" customFormat="false" ht="12.75" hidden="false" customHeight="true" outlineLevel="0" collapsed="false">
      <c r="A19" s="46" t="n">
        <v>18</v>
      </c>
      <c r="B19" s="46" t="s">
        <v>238</v>
      </c>
      <c r="C19" s="46" t="s">
        <v>1116</v>
      </c>
      <c r="D19" s="46" t="s">
        <v>1142</v>
      </c>
      <c r="E19" s="47" t="s">
        <v>1143</v>
      </c>
      <c r="F19" s="46" t="s">
        <v>1099</v>
      </c>
      <c r="G19" s="46" t="s">
        <v>230</v>
      </c>
      <c r="H19" s="46" t="n">
        <v>3</v>
      </c>
      <c r="I19" s="46"/>
      <c r="J19" s="46" t="s">
        <v>147</v>
      </c>
      <c r="K19" s="46" t="s">
        <v>1119</v>
      </c>
      <c r="L19" s="46" t="s">
        <v>1100</v>
      </c>
      <c r="M19" s="46" t="s">
        <v>1120</v>
      </c>
      <c r="N19" s="46" t="s">
        <v>1123</v>
      </c>
    </row>
    <row r="20" customFormat="false" ht="12.75" hidden="false" customHeight="true" outlineLevel="0" collapsed="false">
      <c r="A20" s="46" t="n">
        <v>19</v>
      </c>
      <c r="B20" s="46" t="s">
        <v>236</v>
      </c>
      <c r="C20" s="46" t="s">
        <v>1116</v>
      </c>
      <c r="D20" s="46" t="s">
        <v>1144</v>
      </c>
      <c r="E20" s="47" t="s">
        <v>1145</v>
      </c>
      <c r="F20" s="46" t="s">
        <v>1099</v>
      </c>
      <c r="G20" s="46" t="s">
        <v>197</v>
      </c>
      <c r="H20" s="46" t="n">
        <v>3</v>
      </c>
      <c r="I20" s="46"/>
      <c r="J20" s="46" t="s">
        <v>151</v>
      </c>
      <c r="K20" s="46" t="s">
        <v>1119</v>
      </c>
      <c r="L20" s="46" t="s">
        <v>1100</v>
      </c>
      <c r="M20" s="46" t="s">
        <v>1140</v>
      </c>
      <c r="N20" s="46" t="s">
        <v>1126</v>
      </c>
    </row>
    <row r="21" customFormat="false" ht="12.75" hidden="false" customHeight="true" outlineLevel="0" collapsed="false">
      <c r="A21" s="46" t="n">
        <v>20</v>
      </c>
      <c r="B21" s="46" t="s">
        <v>245</v>
      </c>
      <c r="C21" s="46" t="s">
        <v>1116</v>
      </c>
      <c r="D21" s="46" t="s">
        <v>1146</v>
      </c>
      <c r="E21" s="47" t="s">
        <v>1147</v>
      </c>
      <c r="F21" s="46" t="s">
        <v>1099</v>
      </c>
      <c r="G21" s="46" t="s">
        <v>197</v>
      </c>
      <c r="H21" s="46" t="n">
        <v>5</v>
      </c>
      <c r="I21" s="46"/>
      <c r="J21" s="46" t="s">
        <v>151</v>
      </c>
      <c r="K21" s="46" t="s">
        <v>1119</v>
      </c>
      <c r="L21" s="46" t="s">
        <v>1100</v>
      </c>
      <c r="M21" s="46" t="s">
        <v>1140</v>
      </c>
      <c r="N21" s="46" t="s">
        <v>1141</v>
      </c>
    </row>
    <row r="22" customFormat="false" ht="12.75" hidden="false" customHeight="true" outlineLevel="0" collapsed="false">
      <c r="A22" s="46" t="n">
        <v>21</v>
      </c>
      <c r="B22" s="46" t="s">
        <v>249</v>
      </c>
      <c r="C22" s="46" t="s">
        <v>1116</v>
      </c>
      <c r="D22" s="46" t="s">
        <v>1148</v>
      </c>
      <c r="E22" s="47" t="s">
        <v>1149</v>
      </c>
      <c r="F22" s="46" t="s">
        <v>1099</v>
      </c>
      <c r="G22" s="46" t="s">
        <v>197</v>
      </c>
      <c r="H22" s="46" t="n">
        <v>5</v>
      </c>
      <c r="I22" s="46"/>
      <c r="J22" s="46" t="s">
        <v>151</v>
      </c>
      <c r="K22" s="46" t="s">
        <v>1119</v>
      </c>
      <c r="L22" s="46" t="s">
        <v>1100</v>
      </c>
      <c r="M22" s="46" t="s">
        <v>1140</v>
      </c>
      <c r="N22" s="46" t="s">
        <v>1150</v>
      </c>
    </row>
    <row r="23" customFormat="false" ht="12.75" hidden="false" customHeight="true" outlineLevel="0" collapsed="false">
      <c r="A23" s="46" t="n">
        <v>22</v>
      </c>
      <c r="B23" s="46" t="s">
        <v>254</v>
      </c>
      <c r="C23" s="46" t="s">
        <v>1116</v>
      </c>
      <c r="D23" s="46" t="s">
        <v>1151</v>
      </c>
      <c r="E23" s="47" t="s">
        <v>1152</v>
      </c>
      <c r="F23" s="46" t="s">
        <v>1099</v>
      </c>
      <c r="G23" s="46" t="s">
        <v>197</v>
      </c>
      <c r="H23" s="46" t="n">
        <v>5</v>
      </c>
      <c r="I23" s="46"/>
      <c r="J23" s="46" t="s">
        <v>151</v>
      </c>
      <c r="K23" s="46" t="s">
        <v>1119</v>
      </c>
      <c r="L23" s="46" t="s">
        <v>1100</v>
      </c>
      <c r="M23" s="46" t="s">
        <v>1140</v>
      </c>
      <c r="N23" s="46" t="s">
        <v>1141</v>
      </c>
    </row>
    <row r="24" customFormat="false" ht="12.75" hidden="false" customHeight="true" outlineLevel="0" collapsed="false">
      <c r="A24" s="46" t="n">
        <v>23</v>
      </c>
      <c r="B24" s="46" t="s">
        <v>259</v>
      </c>
      <c r="C24" s="46" t="s">
        <v>1116</v>
      </c>
      <c r="D24" s="46" t="s">
        <v>1153</v>
      </c>
      <c r="E24" s="47" t="s">
        <v>1154</v>
      </c>
      <c r="F24" s="46" t="s">
        <v>1099</v>
      </c>
      <c r="G24" s="46" t="s">
        <v>197</v>
      </c>
      <c r="H24" s="46" t="n">
        <v>5</v>
      </c>
      <c r="I24" s="46"/>
      <c r="J24" s="46" t="s">
        <v>151</v>
      </c>
      <c r="K24" s="46" t="s">
        <v>1119</v>
      </c>
      <c r="L24" s="46" t="s">
        <v>1100</v>
      </c>
      <c r="M24" s="46" t="s">
        <v>1140</v>
      </c>
      <c r="N24" s="46" t="s">
        <v>1155</v>
      </c>
    </row>
    <row r="25" customFormat="false" ht="12.75" hidden="false" customHeight="true" outlineLevel="0" collapsed="false">
      <c r="A25" s="46" t="n">
        <v>24</v>
      </c>
      <c r="B25" s="46" t="s">
        <v>264</v>
      </c>
      <c r="C25" s="46" t="s">
        <v>1116</v>
      </c>
      <c r="D25" s="46" t="s">
        <v>1156</v>
      </c>
      <c r="E25" s="47" t="s">
        <v>1157</v>
      </c>
      <c r="F25" s="46" t="s">
        <v>1099</v>
      </c>
      <c r="G25" s="46" t="s">
        <v>197</v>
      </c>
      <c r="H25" s="46" t="n">
        <v>3</v>
      </c>
      <c r="I25" s="46"/>
      <c r="J25" s="46" t="s">
        <v>151</v>
      </c>
      <c r="K25" s="46" t="s">
        <v>1119</v>
      </c>
      <c r="L25" s="46" t="s">
        <v>1100</v>
      </c>
      <c r="M25" s="46" t="s">
        <v>1140</v>
      </c>
      <c r="N25" s="46" t="s">
        <v>1158</v>
      </c>
    </row>
    <row r="26" customFormat="false" ht="12.75" hidden="false" customHeight="true" outlineLevel="0" collapsed="false">
      <c r="A26" s="46" t="n">
        <v>25</v>
      </c>
      <c r="B26" s="46" t="s">
        <v>268</v>
      </c>
      <c r="C26" s="46" t="s">
        <v>1116</v>
      </c>
      <c r="D26" s="46" t="s">
        <v>1159</v>
      </c>
      <c r="E26" s="47" t="s">
        <v>1160</v>
      </c>
      <c r="F26" s="46" t="s">
        <v>1099</v>
      </c>
      <c r="G26" s="46" t="s">
        <v>217</v>
      </c>
      <c r="H26" s="46" t="n">
        <v>5</v>
      </c>
      <c r="I26" s="46"/>
      <c r="J26" s="46" t="s">
        <v>151</v>
      </c>
      <c r="K26" s="46" t="s">
        <v>1119</v>
      </c>
      <c r="L26" s="46" t="s">
        <v>1100</v>
      </c>
      <c r="M26" s="46" t="s">
        <v>1140</v>
      </c>
      <c r="N26" s="46" t="s">
        <v>1155</v>
      </c>
    </row>
    <row r="27" customFormat="false" ht="12.75" hidden="false" customHeight="true" outlineLevel="0" collapsed="false">
      <c r="A27" s="46" t="n">
        <v>26</v>
      </c>
      <c r="B27" s="46" t="s">
        <v>272</v>
      </c>
      <c r="C27" s="46" t="s">
        <v>1116</v>
      </c>
      <c r="D27" s="46" t="s">
        <v>1161</v>
      </c>
      <c r="E27" s="47" t="s">
        <v>1162</v>
      </c>
      <c r="F27" s="46" t="s">
        <v>1099</v>
      </c>
      <c r="G27" s="46" t="s">
        <v>197</v>
      </c>
      <c r="H27" s="46" t="n">
        <v>3</v>
      </c>
      <c r="I27" s="46"/>
      <c r="J27" s="46" t="s">
        <v>151</v>
      </c>
      <c r="K27" s="46" t="s">
        <v>1119</v>
      </c>
      <c r="L27" s="46" t="s">
        <v>1100</v>
      </c>
      <c r="M27" s="46" t="s">
        <v>1140</v>
      </c>
      <c r="N27" s="46" t="s">
        <v>1150</v>
      </c>
    </row>
    <row r="28" customFormat="false" ht="12.75" hidden="false" customHeight="true" outlineLevel="0" collapsed="false">
      <c r="A28" s="46" t="n">
        <v>27</v>
      </c>
      <c r="B28" s="46" t="s">
        <v>276</v>
      </c>
      <c r="C28" s="46" t="s">
        <v>1116</v>
      </c>
      <c r="D28" s="46" t="s">
        <v>1163</v>
      </c>
      <c r="E28" s="47" t="s">
        <v>1164</v>
      </c>
      <c r="F28" s="46" t="s">
        <v>1099</v>
      </c>
      <c r="G28" s="46" t="s">
        <v>217</v>
      </c>
      <c r="H28" s="46" t="n">
        <v>3</v>
      </c>
      <c r="I28" s="46"/>
      <c r="J28" s="46" t="s">
        <v>151</v>
      </c>
      <c r="K28" s="46" t="s">
        <v>1119</v>
      </c>
      <c r="L28" s="46" t="s">
        <v>1100</v>
      </c>
      <c r="M28" s="46" t="s">
        <v>1140</v>
      </c>
      <c r="N28" s="46" t="s">
        <v>1141</v>
      </c>
    </row>
    <row r="29" customFormat="false" ht="12.75" hidden="false" customHeight="true" outlineLevel="0" collapsed="false">
      <c r="A29" s="46" t="n">
        <v>28</v>
      </c>
      <c r="B29" s="46" t="s">
        <v>280</v>
      </c>
      <c r="C29" s="46" t="s">
        <v>1116</v>
      </c>
      <c r="D29" s="46" t="s">
        <v>1165</v>
      </c>
      <c r="E29" s="47" t="s">
        <v>1166</v>
      </c>
      <c r="F29" s="46" t="s">
        <v>1099</v>
      </c>
      <c r="G29" s="46" t="s">
        <v>217</v>
      </c>
      <c r="H29" s="46" t="n">
        <v>3</v>
      </c>
      <c r="I29" s="46"/>
      <c r="J29" s="46" t="s">
        <v>151</v>
      </c>
      <c r="K29" s="46" t="s">
        <v>1119</v>
      </c>
      <c r="L29" s="46" t="s">
        <v>1100</v>
      </c>
      <c r="M29" s="46" t="s">
        <v>1140</v>
      </c>
      <c r="N29" s="46" t="s">
        <v>1167</v>
      </c>
    </row>
    <row r="30" customFormat="false" ht="12.75" hidden="false" customHeight="true" outlineLevel="0" collapsed="false">
      <c r="A30" s="46" t="n">
        <v>29</v>
      </c>
      <c r="B30" s="46" t="s">
        <v>284</v>
      </c>
      <c r="C30" s="46" t="s">
        <v>1116</v>
      </c>
      <c r="D30" s="46" t="s">
        <v>1168</v>
      </c>
      <c r="E30" s="47" t="s">
        <v>1169</v>
      </c>
      <c r="F30" s="46" t="s">
        <v>1099</v>
      </c>
      <c r="G30" s="46" t="s">
        <v>197</v>
      </c>
      <c r="H30" s="46" t="n">
        <v>5</v>
      </c>
      <c r="I30" s="46"/>
      <c r="J30" s="46" t="s">
        <v>154</v>
      </c>
      <c r="K30" s="46" t="s">
        <v>1170</v>
      </c>
      <c r="L30" s="46" t="s">
        <v>1100</v>
      </c>
      <c r="M30" s="46" t="s">
        <v>1171</v>
      </c>
      <c r="N30" s="46" t="s">
        <v>1150</v>
      </c>
    </row>
    <row r="31" customFormat="false" ht="12.75" hidden="false" customHeight="true" outlineLevel="0" collapsed="false">
      <c r="A31" s="46" t="n">
        <v>30</v>
      </c>
      <c r="B31" s="46" t="s">
        <v>290</v>
      </c>
      <c r="C31" s="46" t="s">
        <v>1116</v>
      </c>
      <c r="D31" s="46" t="s">
        <v>1172</v>
      </c>
      <c r="E31" s="47" t="s">
        <v>1173</v>
      </c>
      <c r="F31" s="46" t="s">
        <v>1099</v>
      </c>
      <c r="G31" s="46" t="s">
        <v>197</v>
      </c>
      <c r="H31" s="46" t="n">
        <v>5</v>
      </c>
      <c r="I31" s="46"/>
      <c r="J31" s="46" t="s">
        <v>154</v>
      </c>
      <c r="K31" s="46" t="s">
        <v>1170</v>
      </c>
      <c r="L31" s="46" t="s">
        <v>1100</v>
      </c>
      <c r="M31" s="46" t="s">
        <v>1171</v>
      </c>
      <c r="N31" s="46" t="s">
        <v>1174</v>
      </c>
    </row>
    <row r="32" customFormat="false" ht="12.75" hidden="false" customHeight="true" outlineLevel="0" collapsed="false">
      <c r="A32" s="46" t="n">
        <v>31</v>
      </c>
      <c r="B32" s="46" t="s">
        <v>296</v>
      </c>
      <c r="C32" s="46" t="s">
        <v>1137</v>
      </c>
      <c r="D32" s="46" t="s">
        <v>1175</v>
      </c>
      <c r="E32" s="47" t="s">
        <v>1176</v>
      </c>
      <c r="F32" s="46" t="s">
        <v>1099</v>
      </c>
      <c r="G32" s="46" t="s">
        <v>197</v>
      </c>
      <c r="H32" s="46" t="n">
        <v>3</v>
      </c>
      <c r="I32" s="46"/>
      <c r="J32" s="46" t="s">
        <v>154</v>
      </c>
      <c r="K32" s="46" t="s">
        <v>1170</v>
      </c>
      <c r="L32" s="46" t="s">
        <v>1100</v>
      </c>
      <c r="M32" s="46" t="s">
        <v>1171</v>
      </c>
      <c r="N32" s="46" t="s">
        <v>1177</v>
      </c>
    </row>
    <row r="33" customFormat="false" ht="12.75" hidden="false" customHeight="true" outlineLevel="0" collapsed="false">
      <c r="A33" s="46" t="n">
        <v>32</v>
      </c>
      <c r="B33" s="46" t="s">
        <v>303</v>
      </c>
      <c r="C33" s="46" t="s">
        <v>1137</v>
      </c>
      <c r="D33" s="46" t="s">
        <v>1178</v>
      </c>
      <c r="E33" s="47" t="s">
        <v>1179</v>
      </c>
      <c r="F33" s="46" t="s">
        <v>1099</v>
      </c>
      <c r="G33" s="46" t="s">
        <v>197</v>
      </c>
      <c r="H33" s="46" t="n">
        <v>5</v>
      </c>
      <c r="I33" s="46"/>
      <c r="J33" s="46" t="s">
        <v>154</v>
      </c>
      <c r="K33" s="46" t="s">
        <v>1170</v>
      </c>
      <c r="L33" s="46" t="s">
        <v>1100</v>
      </c>
      <c r="M33" s="46" t="s">
        <v>1171</v>
      </c>
      <c r="N33" s="46" t="s">
        <v>1180</v>
      </c>
    </row>
    <row r="34" customFormat="false" ht="12.75" hidden="false" customHeight="true" outlineLevel="0" collapsed="false">
      <c r="A34" s="46" t="n">
        <v>33</v>
      </c>
      <c r="B34" s="46" t="s">
        <v>310</v>
      </c>
      <c r="C34" s="46" t="s">
        <v>1137</v>
      </c>
      <c r="D34" s="46" t="s">
        <v>1181</v>
      </c>
      <c r="E34" s="47" t="s">
        <v>1182</v>
      </c>
      <c r="F34" s="46" t="s">
        <v>1099</v>
      </c>
      <c r="G34" s="46" t="s">
        <v>217</v>
      </c>
      <c r="H34" s="46" t="n">
        <v>2</v>
      </c>
      <c r="I34" s="46"/>
      <c r="J34" s="46" t="s">
        <v>154</v>
      </c>
      <c r="K34" s="46" t="s">
        <v>1170</v>
      </c>
      <c r="L34" s="46" t="s">
        <v>1100</v>
      </c>
      <c r="M34" s="46" t="s">
        <v>1171</v>
      </c>
      <c r="N34" s="46" t="s">
        <v>1180</v>
      </c>
    </row>
    <row r="35" customFormat="false" ht="12.75" hidden="false" customHeight="true" outlineLevel="0" collapsed="false">
      <c r="A35" s="46" t="n">
        <v>34</v>
      </c>
      <c r="B35" s="46" t="s">
        <v>316</v>
      </c>
      <c r="C35" s="46" t="s">
        <v>1137</v>
      </c>
      <c r="D35" s="46" t="s">
        <v>1183</v>
      </c>
      <c r="E35" s="47" t="s">
        <v>1184</v>
      </c>
      <c r="F35" s="46" t="s">
        <v>1099</v>
      </c>
      <c r="G35" s="46" t="s">
        <v>197</v>
      </c>
      <c r="H35" s="46" t="n">
        <v>5</v>
      </c>
      <c r="I35" s="46"/>
      <c r="J35" s="46" t="s">
        <v>154</v>
      </c>
      <c r="K35" s="46" t="s">
        <v>1170</v>
      </c>
      <c r="L35" s="46" t="s">
        <v>1100</v>
      </c>
      <c r="M35" s="46" t="s">
        <v>1171</v>
      </c>
      <c r="N35" s="46" t="s">
        <v>1185</v>
      </c>
    </row>
    <row r="36" customFormat="false" ht="12.75" hidden="false" customHeight="true" outlineLevel="0" collapsed="false">
      <c r="A36" s="46" t="n">
        <v>35</v>
      </c>
      <c r="B36" s="46" t="s">
        <v>324</v>
      </c>
      <c r="C36" s="46" t="s">
        <v>1137</v>
      </c>
      <c r="D36" s="46" t="s">
        <v>1186</v>
      </c>
      <c r="E36" s="47" t="s">
        <v>1187</v>
      </c>
      <c r="F36" s="46" t="s">
        <v>1099</v>
      </c>
      <c r="G36" s="46" t="s">
        <v>217</v>
      </c>
      <c r="H36" s="46" t="n">
        <v>5</v>
      </c>
      <c r="I36" s="46"/>
      <c r="J36" s="46" t="s">
        <v>154</v>
      </c>
      <c r="K36" s="46" t="s">
        <v>1188</v>
      </c>
      <c r="L36" s="46" t="s">
        <v>1100</v>
      </c>
      <c r="M36" s="46" t="s">
        <v>1189</v>
      </c>
      <c r="N36" s="46" t="s">
        <v>1190</v>
      </c>
    </row>
    <row r="37" customFormat="false" ht="12.75" hidden="false" customHeight="true" outlineLevel="0" collapsed="false">
      <c r="A37" s="46" t="n">
        <v>36</v>
      </c>
      <c r="B37" s="46" t="s">
        <v>332</v>
      </c>
      <c r="C37" s="46" t="s">
        <v>1137</v>
      </c>
      <c r="D37" s="46" t="s">
        <v>1191</v>
      </c>
      <c r="E37" s="47" t="s">
        <v>1192</v>
      </c>
      <c r="F37" s="46" t="s">
        <v>1099</v>
      </c>
      <c r="G37" s="46" t="s">
        <v>197</v>
      </c>
      <c r="H37" s="46" t="n">
        <v>3</v>
      </c>
      <c r="I37" s="46"/>
      <c r="J37" s="46" t="s">
        <v>154</v>
      </c>
      <c r="K37" s="46" t="s">
        <v>1170</v>
      </c>
      <c r="L37" s="46" t="s">
        <v>1100</v>
      </c>
      <c r="M37" s="46" t="s">
        <v>1171</v>
      </c>
      <c r="N37" s="46" t="s">
        <v>1193</v>
      </c>
    </row>
    <row r="38" customFormat="false" ht="12.75" hidden="false" customHeight="true" outlineLevel="0" collapsed="false">
      <c r="A38" s="46" t="n">
        <v>37</v>
      </c>
      <c r="B38" s="46" t="s">
        <v>338</v>
      </c>
      <c r="C38" s="46" t="s">
        <v>1137</v>
      </c>
      <c r="D38" s="46" t="s">
        <v>1194</v>
      </c>
      <c r="E38" s="47" t="s">
        <v>1195</v>
      </c>
      <c r="F38" s="46" t="s">
        <v>1099</v>
      </c>
      <c r="G38" s="46" t="s">
        <v>217</v>
      </c>
      <c r="H38" s="46" t="n">
        <v>2</v>
      </c>
      <c r="I38" s="46"/>
      <c r="J38" s="46" t="s">
        <v>154</v>
      </c>
      <c r="K38" s="46" t="s">
        <v>1170</v>
      </c>
      <c r="L38" s="46" t="s">
        <v>1100</v>
      </c>
      <c r="M38" s="46" t="s">
        <v>1171</v>
      </c>
      <c r="N38" s="46" t="s">
        <v>1193</v>
      </c>
    </row>
    <row r="39" customFormat="false" ht="12.75" hidden="false" customHeight="true" outlineLevel="0" collapsed="false">
      <c r="A39" s="46" t="n">
        <v>38</v>
      </c>
      <c r="B39" s="46" t="s">
        <v>344</v>
      </c>
      <c r="C39" s="46" t="s">
        <v>1137</v>
      </c>
      <c r="D39" s="46" t="s">
        <v>1196</v>
      </c>
      <c r="E39" s="47" t="s">
        <v>1197</v>
      </c>
      <c r="F39" s="46" t="s">
        <v>1099</v>
      </c>
      <c r="G39" s="46" t="s">
        <v>197</v>
      </c>
      <c r="H39" s="46" t="n">
        <v>5</v>
      </c>
      <c r="I39" s="46"/>
      <c r="J39" s="46" t="s">
        <v>154</v>
      </c>
      <c r="K39" s="46" t="s">
        <v>1170</v>
      </c>
      <c r="L39" s="46" t="s">
        <v>1100</v>
      </c>
      <c r="M39" s="46" t="s">
        <v>1171</v>
      </c>
      <c r="N39" s="46" t="s">
        <v>1198</v>
      </c>
    </row>
    <row r="40" customFormat="false" ht="12.75" hidden="false" customHeight="true" outlineLevel="0" collapsed="false">
      <c r="A40" s="46" t="n">
        <v>39</v>
      </c>
      <c r="B40" s="46" t="s">
        <v>352</v>
      </c>
      <c r="C40" s="46" t="s">
        <v>1137</v>
      </c>
      <c r="D40" s="46" t="s">
        <v>1199</v>
      </c>
      <c r="E40" s="47" t="s">
        <v>1200</v>
      </c>
      <c r="F40" s="46" t="s">
        <v>1099</v>
      </c>
      <c r="G40" s="46" t="s">
        <v>197</v>
      </c>
      <c r="H40" s="46" t="n">
        <v>5</v>
      </c>
      <c r="I40" s="46"/>
      <c r="J40" s="46" t="s">
        <v>154</v>
      </c>
      <c r="K40" s="46" t="s">
        <v>1170</v>
      </c>
      <c r="L40" s="46" t="s">
        <v>1100</v>
      </c>
      <c r="M40" s="46" t="s">
        <v>1171</v>
      </c>
      <c r="N40" s="46" t="s">
        <v>1201</v>
      </c>
    </row>
    <row r="41" customFormat="false" ht="12.75" hidden="false" customHeight="true" outlineLevel="0" collapsed="false">
      <c r="A41" s="46" t="n">
        <v>40</v>
      </c>
      <c r="B41" s="46" t="s">
        <v>359</v>
      </c>
      <c r="C41" s="46" t="s">
        <v>1137</v>
      </c>
      <c r="D41" s="46" t="s">
        <v>1202</v>
      </c>
      <c r="E41" s="47" t="s">
        <v>1203</v>
      </c>
      <c r="F41" s="46" t="s">
        <v>1099</v>
      </c>
      <c r="G41" s="46" t="s">
        <v>197</v>
      </c>
      <c r="H41" s="46" t="n">
        <v>5</v>
      </c>
      <c r="I41" s="46"/>
      <c r="J41" s="46" t="s">
        <v>154</v>
      </c>
      <c r="K41" s="46" t="s">
        <v>1170</v>
      </c>
      <c r="L41" s="46" t="s">
        <v>1100</v>
      </c>
      <c r="M41" s="46" t="s">
        <v>1171</v>
      </c>
      <c r="N41" s="46" t="s">
        <v>1201</v>
      </c>
    </row>
    <row r="42" customFormat="false" ht="12.75" hidden="false" customHeight="true" outlineLevel="0" collapsed="false">
      <c r="A42" s="46" t="n">
        <v>41</v>
      </c>
      <c r="B42" s="46" t="s">
        <v>366</v>
      </c>
      <c r="C42" s="46" t="s">
        <v>1137</v>
      </c>
      <c r="D42" s="46" t="s">
        <v>1204</v>
      </c>
      <c r="E42" s="47" t="s">
        <v>1205</v>
      </c>
      <c r="F42" s="46" t="s">
        <v>1099</v>
      </c>
      <c r="G42" s="46" t="s">
        <v>217</v>
      </c>
      <c r="H42" s="46" t="n">
        <v>3</v>
      </c>
      <c r="I42" s="46"/>
      <c r="J42" s="46" t="s">
        <v>154</v>
      </c>
      <c r="K42" s="46" t="s">
        <v>1170</v>
      </c>
      <c r="L42" s="46" t="s">
        <v>1100</v>
      </c>
      <c r="M42" s="46" t="s">
        <v>1171</v>
      </c>
      <c r="N42" s="46" t="s">
        <v>1206</v>
      </c>
    </row>
    <row r="43" customFormat="false" ht="12.75" hidden="false" customHeight="true" outlineLevel="0" collapsed="false">
      <c r="A43" s="46" t="n">
        <v>42</v>
      </c>
      <c r="B43" s="46" t="s">
        <v>372</v>
      </c>
      <c r="C43" s="46" t="s">
        <v>1137</v>
      </c>
      <c r="D43" s="46" t="s">
        <v>1207</v>
      </c>
      <c r="E43" s="47" t="s">
        <v>1208</v>
      </c>
      <c r="F43" s="46" t="s">
        <v>1099</v>
      </c>
      <c r="G43" s="46" t="s">
        <v>230</v>
      </c>
      <c r="H43" s="46" t="n">
        <v>3</v>
      </c>
      <c r="I43" s="46"/>
      <c r="J43" s="46" t="s">
        <v>154</v>
      </c>
      <c r="K43" s="46" t="s">
        <v>1170</v>
      </c>
      <c r="L43" s="46" t="s">
        <v>1100</v>
      </c>
      <c r="M43" s="46" t="s">
        <v>1171</v>
      </c>
      <c r="N43" s="46" t="s">
        <v>1206</v>
      </c>
    </row>
    <row r="44" customFormat="false" ht="12.75" hidden="false" customHeight="true" outlineLevel="0" collapsed="false">
      <c r="A44" s="46" t="n">
        <v>43</v>
      </c>
      <c r="B44" s="46" t="s">
        <v>379</v>
      </c>
      <c r="C44" s="46" t="s">
        <v>1137</v>
      </c>
      <c r="D44" s="46" t="s">
        <v>1209</v>
      </c>
      <c r="E44" s="47" t="s">
        <v>1210</v>
      </c>
      <c r="F44" s="46" t="s">
        <v>1099</v>
      </c>
      <c r="G44" s="46" t="s">
        <v>217</v>
      </c>
      <c r="H44" s="46" t="n">
        <v>5</v>
      </c>
      <c r="I44" s="46"/>
      <c r="J44" s="46" t="s">
        <v>154</v>
      </c>
      <c r="K44" s="46" t="s">
        <v>1170</v>
      </c>
      <c r="L44" s="46" t="s">
        <v>1100</v>
      </c>
      <c r="M44" s="46" t="s">
        <v>1171</v>
      </c>
      <c r="N44" s="46" t="s">
        <v>1206</v>
      </c>
    </row>
    <row r="45" customFormat="false" ht="12.75" hidden="false" customHeight="true" outlineLevel="0" collapsed="false">
      <c r="A45" s="46" t="n">
        <v>44</v>
      </c>
      <c r="B45" s="46" t="s">
        <v>385</v>
      </c>
      <c r="C45" s="46" t="s">
        <v>1137</v>
      </c>
      <c r="D45" s="46" t="s">
        <v>1211</v>
      </c>
      <c r="E45" s="47" t="s">
        <v>1212</v>
      </c>
      <c r="F45" s="46" t="s">
        <v>1099</v>
      </c>
      <c r="G45" s="46" t="s">
        <v>230</v>
      </c>
      <c r="H45" s="46" t="n">
        <v>3</v>
      </c>
      <c r="I45" s="46"/>
      <c r="J45" s="46" t="s">
        <v>154</v>
      </c>
      <c r="K45" s="46" t="s">
        <v>1170</v>
      </c>
      <c r="L45" s="46" t="s">
        <v>1100</v>
      </c>
      <c r="M45" s="46" t="s">
        <v>1171</v>
      </c>
      <c r="N45" s="46" t="s">
        <v>1206</v>
      </c>
    </row>
    <row r="46" customFormat="false" ht="12.75" hidden="false" customHeight="true" outlineLevel="0" collapsed="false">
      <c r="A46" s="46" t="n">
        <v>45</v>
      </c>
      <c r="B46" s="46" t="s">
        <v>391</v>
      </c>
      <c r="C46" s="46" t="s">
        <v>1137</v>
      </c>
      <c r="D46" s="46" t="s">
        <v>1213</v>
      </c>
      <c r="E46" s="47" t="s">
        <v>1214</v>
      </c>
      <c r="F46" s="46" t="s">
        <v>1099</v>
      </c>
      <c r="G46" s="46" t="s">
        <v>197</v>
      </c>
      <c r="H46" s="46" t="n">
        <v>3</v>
      </c>
      <c r="I46" s="46"/>
      <c r="J46" s="46" t="s">
        <v>154</v>
      </c>
      <c r="K46" s="46" t="s">
        <v>1170</v>
      </c>
      <c r="L46" s="46" t="s">
        <v>1100</v>
      </c>
      <c r="M46" s="46" t="s">
        <v>1171</v>
      </c>
      <c r="N46" s="46" t="s">
        <v>1206</v>
      </c>
    </row>
    <row r="47" customFormat="false" ht="12.75" hidden="false" customHeight="true" outlineLevel="0" collapsed="false">
      <c r="A47" s="46" t="n">
        <v>46</v>
      </c>
      <c r="B47" s="46" t="s">
        <v>397</v>
      </c>
      <c r="C47" s="46" t="s">
        <v>1116</v>
      </c>
      <c r="D47" s="46" t="s">
        <v>1215</v>
      </c>
      <c r="E47" s="47" t="s">
        <v>1216</v>
      </c>
      <c r="F47" s="46" t="s">
        <v>1099</v>
      </c>
      <c r="G47" s="46" t="s">
        <v>230</v>
      </c>
      <c r="H47" s="46" t="n">
        <v>3</v>
      </c>
      <c r="I47" s="46"/>
      <c r="J47" s="46" t="s">
        <v>154</v>
      </c>
      <c r="K47" s="46" t="s">
        <v>1170</v>
      </c>
      <c r="L47" s="46" t="s">
        <v>1100</v>
      </c>
      <c r="M47" s="46" t="s">
        <v>1171</v>
      </c>
      <c r="N47" s="46" t="s">
        <v>1201</v>
      </c>
    </row>
    <row r="48" customFormat="false" ht="12.75" hidden="false" customHeight="true" outlineLevel="0" collapsed="false">
      <c r="A48" s="46" t="n">
        <v>47</v>
      </c>
      <c r="B48" s="46" t="s">
        <v>401</v>
      </c>
      <c r="C48" s="46" t="s">
        <v>1116</v>
      </c>
      <c r="D48" s="46" t="s">
        <v>1217</v>
      </c>
      <c r="E48" s="47" t="s">
        <v>1218</v>
      </c>
      <c r="F48" s="46" t="s">
        <v>1099</v>
      </c>
      <c r="G48" s="46" t="s">
        <v>197</v>
      </c>
      <c r="H48" s="46" t="n">
        <v>5</v>
      </c>
      <c r="I48" s="46"/>
      <c r="J48" s="46" t="s">
        <v>158</v>
      </c>
      <c r="K48" s="46" t="s">
        <v>1219</v>
      </c>
      <c r="L48" s="46" t="s">
        <v>1100</v>
      </c>
      <c r="M48" s="46" t="s">
        <v>1220</v>
      </c>
      <c r="N48" s="46" t="s">
        <v>1141</v>
      </c>
    </row>
    <row r="49" customFormat="false" ht="12.75" hidden="false" customHeight="true" outlineLevel="0" collapsed="false">
      <c r="A49" s="46" t="n">
        <v>48</v>
      </c>
      <c r="B49" s="46" t="s">
        <v>406</v>
      </c>
      <c r="C49" s="46" t="s">
        <v>1116</v>
      </c>
      <c r="D49" s="46" t="s">
        <v>1221</v>
      </c>
      <c r="E49" s="47" t="s">
        <v>1222</v>
      </c>
      <c r="F49" s="46" t="s">
        <v>1099</v>
      </c>
      <c r="G49" s="46" t="s">
        <v>217</v>
      </c>
      <c r="H49" s="46" t="n">
        <v>3</v>
      </c>
      <c r="I49" s="46"/>
      <c r="J49" s="46" t="s">
        <v>158</v>
      </c>
      <c r="K49" s="46" t="s">
        <v>1219</v>
      </c>
      <c r="L49" s="46" t="s">
        <v>1100</v>
      </c>
      <c r="M49" s="46" t="s">
        <v>1220</v>
      </c>
      <c r="N49" s="46" t="s">
        <v>1223</v>
      </c>
    </row>
    <row r="50" customFormat="false" ht="12.75" hidden="false" customHeight="true" outlineLevel="0" collapsed="false">
      <c r="A50" s="46" t="n">
        <v>49</v>
      </c>
      <c r="B50" s="46" t="s">
        <v>411</v>
      </c>
      <c r="C50" s="46" t="s">
        <v>1116</v>
      </c>
      <c r="D50" s="46" t="s">
        <v>1224</v>
      </c>
      <c r="E50" s="47" t="s">
        <v>1225</v>
      </c>
      <c r="F50" s="46" t="s">
        <v>1099</v>
      </c>
      <c r="G50" s="46" t="s">
        <v>197</v>
      </c>
      <c r="H50" s="46" t="n">
        <v>5</v>
      </c>
      <c r="I50" s="46"/>
      <c r="J50" s="46" t="s">
        <v>158</v>
      </c>
      <c r="K50" s="46" t="s">
        <v>1219</v>
      </c>
      <c r="L50" s="46" t="s">
        <v>1100</v>
      </c>
      <c r="M50" s="46" t="s">
        <v>1220</v>
      </c>
      <c r="N50" s="46" t="s">
        <v>1226</v>
      </c>
    </row>
    <row r="51" customFormat="false" ht="12.75" hidden="false" customHeight="true" outlineLevel="0" collapsed="false">
      <c r="A51" s="46" t="n">
        <v>50</v>
      </c>
      <c r="B51" s="46" t="s">
        <v>417</v>
      </c>
      <c r="C51" s="46" t="s">
        <v>1116</v>
      </c>
      <c r="D51" s="46" t="s">
        <v>1227</v>
      </c>
      <c r="E51" s="47" t="s">
        <v>1228</v>
      </c>
      <c r="F51" s="46" t="s">
        <v>1099</v>
      </c>
      <c r="G51" s="46" t="s">
        <v>217</v>
      </c>
      <c r="H51" s="46" t="n">
        <v>5</v>
      </c>
      <c r="I51" s="46"/>
      <c r="J51" s="46" t="s">
        <v>158</v>
      </c>
      <c r="K51" s="46" t="s">
        <v>1219</v>
      </c>
      <c r="L51" s="46" t="s">
        <v>1100</v>
      </c>
      <c r="M51" s="46" t="s">
        <v>1220</v>
      </c>
      <c r="N51" s="46" t="s">
        <v>1229</v>
      </c>
    </row>
    <row r="52" customFormat="false" ht="12.75" hidden="false" customHeight="true" outlineLevel="0" collapsed="false">
      <c r="A52" s="46" t="n">
        <v>51</v>
      </c>
      <c r="B52" s="46" t="s">
        <v>422</v>
      </c>
      <c r="C52" s="46" t="s">
        <v>1116</v>
      </c>
      <c r="D52" s="46" t="s">
        <v>1230</v>
      </c>
      <c r="E52" s="47" t="s">
        <v>1231</v>
      </c>
      <c r="F52" s="46" t="s">
        <v>1099</v>
      </c>
      <c r="G52" s="46" t="s">
        <v>197</v>
      </c>
      <c r="H52" s="46" t="n">
        <v>3</v>
      </c>
      <c r="I52" s="46"/>
      <c r="J52" s="46" t="s">
        <v>158</v>
      </c>
      <c r="K52" s="46" t="s">
        <v>1219</v>
      </c>
      <c r="L52" s="46" t="s">
        <v>1100</v>
      </c>
      <c r="M52" s="46" t="s">
        <v>1220</v>
      </c>
      <c r="N52" s="46" t="s">
        <v>1232</v>
      </c>
    </row>
    <row r="53" customFormat="false" ht="12.75" hidden="false" customHeight="true" outlineLevel="0" collapsed="false">
      <c r="A53" s="46" t="n">
        <v>52</v>
      </c>
      <c r="B53" s="46" t="s">
        <v>427</v>
      </c>
      <c r="C53" s="46" t="s">
        <v>1116</v>
      </c>
      <c r="D53" s="46" t="s">
        <v>1233</v>
      </c>
      <c r="E53" s="47" t="s">
        <v>1234</v>
      </c>
      <c r="F53" s="46" t="s">
        <v>1099</v>
      </c>
      <c r="G53" s="46" t="s">
        <v>230</v>
      </c>
      <c r="H53" s="46" t="n">
        <v>3</v>
      </c>
      <c r="I53" s="46"/>
      <c r="J53" s="46" t="s">
        <v>158</v>
      </c>
      <c r="K53" s="46" t="s">
        <v>1219</v>
      </c>
      <c r="L53" s="46" t="s">
        <v>1100</v>
      </c>
      <c r="M53" s="46" t="s">
        <v>1220</v>
      </c>
      <c r="N53" s="46" t="s">
        <v>1235</v>
      </c>
    </row>
    <row r="54" customFormat="false" ht="12.75" hidden="false" customHeight="true" outlineLevel="0" collapsed="false">
      <c r="A54" s="46" t="n">
        <v>53</v>
      </c>
      <c r="B54" s="46" t="s">
        <v>431</v>
      </c>
      <c r="C54" s="46" t="s">
        <v>1116</v>
      </c>
      <c r="D54" s="46" t="s">
        <v>1236</v>
      </c>
      <c r="E54" s="47" t="s">
        <v>1237</v>
      </c>
      <c r="F54" s="46" t="s">
        <v>1099</v>
      </c>
      <c r="G54" s="46" t="s">
        <v>217</v>
      </c>
      <c r="H54" s="46" t="n">
        <v>5</v>
      </c>
      <c r="I54" s="46"/>
      <c r="J54" s="46" t="s">
        <v>158</v>
      </c>
      <c r="K54" s="46" t="s">
        <v>1219</v>
      </c>
      <c r="L54" s="46" t="s">
        <v>1100</v>
      </c>
      <c r="M54" s="46" t="s">
        <v>1220</v>
      </c>
      <c r="N54" s="46" t="s">
        <v>1235</v>
      </c>
    </row>
    <row r="55" customFormat="false" ht="12.75" hidden="false" customHeight="true" outlineLevel="0" collapsed="false">
      <c r="A55" s="46" t="n">
        <v>54</v>
      </c>
      <c r="B55" s="46" t="s">
        <v>435</v>
      </c>
      <c r="C55" s="46" t="s">
        <v>1116</v>
      </c>
      <c r="D55" s="46" t="s">
        <v>1238</v>
      </c>
      <c r="E55" s="47" t="s">
        <v>1239</v>
      </c>
      <c r="F55" s="46" t="s">
        <v>1099</v>
      </c>
      <c r="G55" s="46" t="s">
        <v>230</v>
      </c>
      <c r="H55" s="46" t="n">
        <v>2</v>
      </c>
      <c r="I55" s="46"/>
      <c r="J55" s="46" t="s">
        <v>158</v>
      </c>
      <c r="K55" s="46" t="s">
        <v>1219</v>
      </c>
      <c r="L55" s="46" t="s">
        <v>1100</v>
      </c>
      <c r="M55" s="46" t="s">
        <v>1220</v>
      </c>
      <c r="N55" s="46" t="s">
        <v>1240</v>
      </c>
    </row>
    <row r="56" customFormat="false" ht="12.75" hidden="false" customHeight="true" outlineLevel="0" collapsed="false">
      <c r="A56" s="46" t="n">
        <v>55</v>
      </c>
      <c r="B56" s="46" t="s">
        <v>439</v>
      </c>
      <c r="C56" s="46" t="s">
        <v>1116</v>
      </c>
      <c r="D56" s="46" t="s">
        <v>1241</v>
      </c>
      <c r="E56" s="47" t="s">
        <v>1242</v>
      </c>
      <c r="F56" s="46" t="s">
        <v>1099</v>
      </c>
      <c r="G56" s="46" t="s">
        <v>230</v>
      </c>
      <c r="H56" s="46" t="n">
        <v>5</v>
      </c>
      <c r="I56" s="46"/>
      <c r="J56" s="46" t="s">
        <v>158</v>
      </c>
      <c r="K56" s="46" t="s">
        <v>1219</v>
      </c>
      <c r="L56" s="46" t="s">
        <v>1100</v>
      </c>
      <c r="M56" s="46" t="s">
        <v>1220</v>
      </c>
      <c r="N56" s="46" t="s">
        <v>1235</v>
      </c>
    </row>
    <row r="57" customFormat="false" ht="12.75" hidden="false" customHeight="true" outlineLevel="0" collapsed="false">
      <c r="A57" s="46" t="n">
        <v>56</v>
      </c>
      <c r="B57" s="46" t="s">
        <v>443</v>
      </c>
      <c r="C57" s="46" t="s">
        <v>1116</v>
      </c>
      <c r="D57" s="46" t="s">
        <v>1243</v>
      </c>
      <c r="E57" s="47" t="s">
        <v>1244</v>
      </c>
      <c r="F57" s="46" t="s">
        <v>1099</v>
      </c>
      <c r="G57" s="46" t="s">
        <v>230</v>
      </c>
      <c r="H57" s="46" t="n">
        <v>5</v>
      </c>
      <c r="I57" s="46"/>
      <c r="J57" s="46" t="s">
        <v>158</v>
      </c>
      <c r="K57" s="46" t="s">
        <v>1219</v>
      </c>
      <c r="L57" s="46" t="s">
        <v>1100</v>
      </c>
      <c r="M57" s="46" t="s">
        <v>1220</v>
      </c>
      <c r="N57" s="46" t="s">
        <v>1245</v>
      </c>
    </row>
    <row r="58" customFormat="false" ht="12.75" hidden="false" customHeight="true" outlineLevel="0" collapsed="false">
      <c r="A58" s="46" t="n">
        <v>57</v>
      </c>
      <c r="B58" s="46" t="s">
        <v>448</v>
      </c>
      <c r="C58" s="46" t="s">
        <v>1116</v>
      </c>
      <c r="D58" s="46" t="s">
        <v>1246</v>
      </c>
      <c r="E58" s="47" t="s">
        <v>1247</v>
      </c>
      <c r="F58" s="46" t="s">
        <v>1099</v>
      </c>
      <c r="G58" s="46" t="s">
        <v>217</v>
      </c>
      <c r="H58" s="46" t="n">
        <v>3</v>
      </c>
      <c r="I58" s="46"/>
      <c r="J58" s="46" t="s">
        <v>158</v>
      </c>
      <c r="K58" s="46" t="s">
        <v>1219</v>
      </c>
      <c r="L58" s="46" t="s">
        <v>1100</v>
      </c>
      <c r="M58" s="46" t="s">
        <v>1220</v>
      </c>
      <c r="N58" s="46" t="s">
        <v>1248</v>
      </c>
    </row>
    <row r="59" customFormat="false" ht="12.75" hidden="false" customHeight="true" outlineLevel="0" collapsed="false">
      <c r="A59" s="46" t="n">
        <v>58</v>
      </c>
      <c r="B59" s="46" t="s">
        <v>453</v>
      </c>
      <c r="C59" s="46" t="s">
        <v>1116</v>
      </c>
      <c r="D59" s="46" t="s">
        <v>1249</v>
      </c>
      <c r="E59" s="47" t="s">
        <v>1250</v>
      </c>
      <c r="F59" s="46" t="s">
        <v>1099</v>
      </c>
      <c r="G59" s="46" t="s">
        <v>197</v>
      </c>
      <c r="H59" s="46" t="n">
        <v>5</v>
      </c>
      <c r="I59" s="46"/>
      <c r="J59" s="46" t="s">
        <v>158</v>
      </c>
      <c r="K59" s="46" t="s">
        <v>1219</v>
      </c>
      <c r="L59" s="46" t="s">
        <v>1100</v>
      </c>
      <c r="M59" s="46" t="s">
        <v>1220</v>
      </c>
      <c r="N59" s="46" t="s">
        <v>1245</v>
      </c>
    </row>
    <row r="60" customFormat="false" ht="12.75" hidden="false" customHeight="true" outlineLevel="0" collapsed="false">
      <c r="A60" s="46" t="n">
        <v>59</v>
      </c>
      <c r="B60" s="46" t="s">
        <v>457</v>
      </c>
      <c r="C60" s="46" t="s">
        <v>1116</v>
      </c>
      <c r="D60" s="46" t="s">
        <v>1251</v>
      </c>
      <c r="E60" s="47" t="s">
        <v>1252</v>
      </c>
      <c r="F60" s="46" t="s">
        <v>1099</v>
      </c>
      <c r="G60" s="46" t="s">
        <v>217</v>
      </c>
      <c r="H60" s="46" t="n">
        <v>5</v>
      </c>
      <c r="I60" s="46"/>
      <c r="J60" s="46" t="s">
        <v>158</v>
      </c>
      <c r="K60" s="46" t="s">
        <v>1219</v>
      </c>
      <c r="L60" s="46" t="s">
        <v>1100</v>
      </c>
      <c r="M60" s="46" t="s">
        <v>1220</v>
      </c>
      <c r="N60" s="46" t="s">
        <v>1253</v>
      </c>
    </row>
    <row r="61" customFormat="false" ht="12.75" hidden="false" customHeight="true" outlineLevel="0" collapsed="false">
      <c r="A61" s="46" t="n">
        <v>60</v>
      </c>
      <c r="B61" s="46" t="s">
        <v>462</v>
      </c>
      <c r="C61" s="46" t="s">
        <v>1116</v>
      </c>
      <c r="D61" s="46" t="s">
        <v>1254</v>
      </c>
      <c r="E61" s="47" t="s">
        <v>1255</v>
      </c>
      <c r="F61" s="46" t="s">
        <v>1099</v>
      </c>
      <c r="G61" s="46" t="s">
        <v>230</v>
      </c>
      <c r="H61" s="46" t="n">
        <v>3</v>
      </c>
      <c r="I61" s="46"/>
      <c r="J61" s="46" t="s">
        <v>158</v>
      </c>
      <c r="K61" s="46" t="s">
        <v>1219</v>
      </c>
      <c r="L61" s="46" t="s">
        <v>1100</v>
      </c>
      <c r="M61" s="46" t="s">
        <v>1220</v>
      </c>
      <c r="N61" s="46" t="s">
        <v>1256</v>
      </c>
    </row>
    <row r="62" customFormat="false" ht="12.75" hidden="false" customHeight="true" outlineLevel="0" collapsed="false">
      <c r="A62" s="46" t="n">
        <v>61</v>
      </c>
      <c r="B62" s="46" t="s">
        <v>467</v>
      </c>
      <c r="C62" s="46" t="s">
        <v>1116</v>
      </c>
      <c r="D62" s="46" t="s">
        <v>1257</v>
      </c>
      <c r="E62" s="47" t="s">
        <v>1258</v>
      </c>
      <c r="F62" s="46" t="s">
        <v>1099</v>
      </c>
      <c r="G62" s="46" t="s">
        <v>230</v>
      </c>
      <c r="H62" s="46" t="n">
        <v>5</v>
      </c>
      <c r="I62" s="46"/>
      <c r="J62" s="46" t="s">
        <v>158</v>
      </c>
      <c r="K62" s="46" t="s">
        <v>1219</v>
      </c>
      <c r="L62" s="46" t="s">
        <v>1100</v>
      </c>
      <c r="M62" s="46" t="s">
        <v>1220</v>
      </c>
      <c r="N62" s="46" t="s">
        <v>1240</v>
      </c>
    </row>
    <row r="63" customFormat="false" ht="12.75" hidden="false" customHeight="true" outlineLevel="0" collapsed="false">
      <c r="A63" s="46" t="n">
        <v>62</v>
      </c>
      <c r="B63" s="46" t="s">
        <v>472</v>
      </c>
      <c r="C63" s="46" t="s">
        <v>1116</v>
      </c>
      <c r="D63" s="46" t="s">
        <v>1259</v>
      </c>
      <c r="E63" s="47" t="s">
        <v>1260</v>
      </c>
      <c r="F63" s="46" t="s">
        <v>1099</v>
      </c>
      <c r="G63" s="46" t="s">
        <v>197</v>
      </c>
      <c r="H63" s="46" t="n">
        <v>5</v>
      </c>
      <c r="I63" s="46"/>
      <c r="J63" s="46" t="s">
        <v>158</v>
      </c>
      <c r="K63" s="46" t="s">
        <v>1219</v>
      </c>
      <c r="L63" s="46" t="s">
        <v>1100</v>
      </c>
      <c r="M63" s="46" t="s">
        <v>1220</v>
      </c>
      <c r="N63" s="46" t="s">
        <v>1261</v>
      </c>
    </row>
    <row r="64" customFormat="false" ht="12.75" hidden="false" customHeight="true" outlineLevel="0" collapsed="false">
      <c r="A64" s="46" t="n">
        <v>63</v>
      </c>
      <c r="B64" s="46" t="s">
        <v>477</v>
      </c>
      <c r="C64" s="46" t="s">
        <v>1116</v>
      </c>
      <c r="D64" s="46" t="s">
        <v>1262</v>
      </c>
      <c r="E64" s="47" t="s">
        <v>1263</v>
      </c>
      <c r="F64" s="46" t="s">
        <v>1099</v>
      </c>
      <c r="G64" s="46" t="s">
        <v>197</v>
      </c>
      <c r="H64" s="46" t="n">
        <v>5</v>
      </c>
      <c r="I64" s="46"/>
      <c r="J64" s="46" t="s">
        <v>162</v>
      </c>
      <c r="K64" s="46" t="s">
        <v>1264</v>
      </c>
      <c r="L64" s="46" t="s">
        <v>1100</v>
      </c>
      <c r="M64" s="46" t="s">
        <v>1265</v>
      </c>
      <c r="N64" s="46" t="s">
        <v>1155</v>
      </c>
    </row>
    <row r="65" customFormat="false" ht="12.75" hidden="false" customHeight="true" outlineLevel="0" collapsed="false">
      <c r="A65" s="46" t="n">
        <v>64</v>
      </c>
      <c r="B65" s="46" t="s">
        <v>482</v>
      </c>
      <c r="C65" s="46" t="s">
        <v>1137</v>
      </c>
      <c r="D65" s="46" t="s">
        <v>1266</v>
      </c>
      <c r="E65" s="47" t="s">
        <v>1267</v>
      </c>
      <c r="F65" s="46" t="s">
        <v>1099</v>
      </c>
      <c r="G65" s="46" t="s">
        <v>197</v>
      </c>
      <c r="H65" s="46" t="n">
        <v>3</v>
      </c>
      <c r="I65" s="46"/>
      <c r="J65" s="46" t="s">
        <v>162</v>
      </c>
      <c r="K65" s="46" t="s">
        <v>1264</v>
      </c>
      <c r="L65" s="46" t="s">
        <v>1100</v>
      </c>
      <c r="M65" s="46" t="s">
        <v>1265</v>
      </c>
      <c r="N65" s="46" t="s">
        <v>1268</v>
      </c>
    </row>
    <row r="66" customFormat="false" ht="12.75" hidden="false" customHeight="true" outlineLevel="0" collapsed="false">
      <c r="A66" s="46" t="n">
        <v>65</v>
      </c>
      <c r="B66" s="46" t="s">
        <v>489</v>
      </c>
      <c r="C66" s="46" t="s">
        <v>1137</v>
      </c>
      <c r="D66" s="46" t="s">
        <v>1269</v>
      </c>
      <c r="E66" s="47" t="s">
        <v>1270</v>
      </c>
      <c r="F66" s="46" t="s">
        <v>1099</v>
      </c>
      <c r="G66" s="46" t="s">
        <v>197</v>
      </c>
      <c r="H66" s="46" t="n">
        <v>5</v>
      </c>
      <c r="I66" s="46"/>
      <c r="J66" s="46" t="s">
        <v>162</v>
      </c>
      <c r="K66" s="46" t="s">
        <v>1264</v>
      </c>
      <c r="L66" s="46" t="s">
        <v>1100</v>
      </c>
      <c r="M66" s="46" t="s">
        <v>1265</v>
      </c>
      <c r="N66" s="46" t="s">
        <v>1271</v>
      </c>
    </row>
    <row r="67" customFormat="false" ht="12.75" hidden="false" customHeight="true" outlineLevel="0" collapsed="false">
      <c r="A67" s="46" t="n">
        <v>66</v>
      </c>
      <c r="B67" s="46" t="s">
        <v>496</v>
      </c>
      <c r="C67" s="46" t="s">
        <v>1137</v>
      </c>
      <c r="D67" s="46" t="s">
        <v>1272</v>
      </c>
      <c r="E67" s="47" t="s">
        <v>1273</v>
      </c>
      <c r="F67" s="46" t="s">
        <v>1099</v>
      </c>
      <c r="G67" s="46" t="s">
        <v>217</v>
      </c>
      <c r="H67" s="46" t="n">
        <v>2</v>
      </c>
      <c r="I67" s="46"/>
      <c r="J67" s="46" t="s">
        <v>162</v>
      </c>
      <c r="K67" s="46" t="s">
        <v>1264</v>
      </c>
      <c r="L67" s="46" t="s">
        <v>1100</v>
      </c>
      <c r="M67" s="46" t="s">
        <v>1265</v>
      </c>
      <c r="N67" s="46" t="s">
        <v>1268</v>
      </c>
    </row>
    <row r="68" customFormat="false" ht="12.75" hidden="false" customHeight="true" outlineLevel="0" collapsed="false">
      <c r="A68" s="46" t="n">
        <v>67</v>
      </c>
      <c r="B68" s="46" t="s">
        <v>503</v>
      </c>
      <c r="C68" s="46" t="s">
        <v>1137</v>
      </c>
      <c r="D68" s="46" t="s">
        <v>1274</v>
      </c>
      <c r="E68" s="47" t="s">
        <v>1275</v>
      </c>
      <c r="F68" s="46" t="s">
        <v>1099</v>
      </c>
      <c r="G68" s="46" t="s">
        <v>217</v>
      </c>
      <c r="H68" s="46" t="n">
        <v>3</v>
      </c>
      <c r="I68" s="46"/>
      <c r="J68" s="46" t="s">
        <v>162</v>
      </c>
      <c r="K68" s="46" t="s">
        <v>1264</v>
      </c>
      <c r="L68" s="46" t="s">
        <v>1100</v>
      </c>
      <c r="M68" s="46" t="s">
        <v>1265</v>
      </c>
      <c r="N68" s="46" t="s">
        <v>1268</v>
      </c>
    </row>
    <row r="69" customFormat="false" ht="12.75" hidden="false" customHeight="true" outlineLevel="0" collapsed="false">
      <c r="A69" s="46" t="n">
        <v>68</v>
      </c>
      <c r="B69" s="46" t="s">
        <v>510</v>
      </c>
      <c r="C69" s="46" t="s">
        <v>1137</v>
      </c>
      <c r="D69" s="46" t="s">
        <v>1276</v>
      </c>
      <c r="E69" s="47" t="s">
        <v>1277</v>
      </c>
      <c r="F69" s="46" t="s">
        <v>1099</v>
      </c>
      <c r="G69" s="46" t="s">
        <v>230</v>
      </c>
      <c r="H69" s="46" t="n">
        <v>3</v>
      </c>
      <c r="I69" s="46"/>
      <c r="J69" s="46" t="s">
        <v>162</v>
      </c>
      <c r="K69" s="46" t="s">
        <v>1264</v>
      </c>
      <c r="L69" s="46" t="s">
        <v>1100</v>
      </c>
      <c r="M69" s="46" t="s">
        <v>1265</v>
      </c>
      <c r="N69" s="46" t="s">
        <v>1268</v>
      </c>
    </row>
    <row r="70" customFormat="false" ht="12.75" hidden="false" customHeight="true" outlineLevel="0" collapsed="false">
      <c r="A70" s="46" t="n">
        <v>69</v>
      </c>
      <c r="B70" s="46" t="s">
        <v>517</v>
      </c>
      <c r="C70" s="46" t="s">
        <v>1137</v>
      </c>
      <c r="D70" s="46" t="s">
        <v>1278</v>
      </c>
      <c r="E70" s="47" t="s">
        <v>1279</v>
      </c>
      <c r="F70" s="46" t="s">
        <v>1099</v>
      </c>
      <c r="G70" s="46" t="s">
        <v>523</v>
      </c>
      <c r="H70" s="46" t="n">
        <v>2</v>
      </c>
      <c r="I70" s="46"/>
      <c r="J70" s="46" t="s">
        <v>162</v>
      </c>
      <c r="K70" s="46" t="s">
        <v>1264</v>
      </c>
      <c r="L70" s="46" t="s">
        <v>1100</v>
      </c>
      <c r="M70" s="46" t="s">
        <v>1265</v>
      </c>
      <c r="N70" s="46" t="s">
        <v>1268</v>
      </c>
    </row>
    <row r="71" customFormat="false" ht="12.75" hidden="false" customHeight="true" outlineLevel="0" collapsed="false">
      <c r="A71" s="46" t="n">
        <v>70</v>
      </c>
      <c r="B71" s="46" t="s">
        <v>525</v>
      </c>
      <c r="C71" s="46" t="s">
        <v>1137</v>
      </c>
      <c r="D71" s="46" t="s">
        <v>1280</v>
      </c>
      <c r="E71" s="47" t="s">
        <v>1281</v>
      </c>
      <c r="F71" s="46" t="s">
        <v>1099</v>
      </c>
      <c r="G71" s="46" t="s">
        <v>217</v>
      </c>
      <c r="H71" s="46" t="n">
        <v>3</v>
      </c>
      <c r="I71" s="46"/>
      <c r="J71" s="46" t="s">
        <v>162</v>
      </c>
      <c r="K71" s="46" t="s">
        <v>1264</v>
      </c>
      <c r="L71" s="46" t="s">
        <v>1100</v>
      </c>
      <c r="M71" s="46" t="s">
        <v>1265</v>
      </c>
      <c r="N71" s="46" t="s">
        <v>1282</v>
      </c>
    </row>
    <row r="72" customFormat="false" ht="12.75" hidden="false" customHeight="true" outlineLevel="0" collapsed="false">
      <c r="A72" s="46" t="n">
        <v>71</v>
      </c>
      <c r="B72" s="46" t="s">
        <v>533</v>
      </c>
      <c r="C72" s="46" t="s">
        <v>1116</v>
      </c>
      <c r="D72" s="46" t="s">
        <v>1283</v>
      </c>
      <c r="E72" s="47" t="s">
        <v>1284</v>
      </c>
      <c r="F72" s="46" t="s">
        <v>1099</v>
      </c>
      <c r="G72" s="46" t="s">
        <v>217</v>
      </c>
      <c r="H72" s="46" t="n">
        <v>5</v>
      </c>
      <c r="I72" s="46"/>
      <c r="J72" s="46" t="s">
        <v>162</v>
      </c>
      <c r="K72" s="46" t="s">
        <v>1264</v>
      </c>
      <c r="L72" s="46" t="s">
        <v>1100</v>
      </c>
      <c r="M72" s="46" t="s">
        <v>1265</v>
      </c>
      <c r="N72" s="46" t="s">
        <v>1285</v>
      </c>
    </row>
    <row r="73" customFormat="false" ht="12.75" hidden="false" customHeight="true" outlineLevel="0" collapsed="false">
      <c r="A73" s="46" t="n">
        <v>72</v>
      </c>
      <c r="B73" s="46" t="s">
        <v>538</v>
      </c>
      <c r="C73" s="46" t="s">
        <v>1137</v>
      </c>
      <c r="D73" s="46" t="s">
        <v>1286</v>
      </c>
      <c r="E73" s="47" t="s">
        <v>1287</v>
      </c>
      <c r="F73" s="46" t="s">
        <v>1099</v>
      </c>
      <c r="G73" s="46" t="s">
        <v>197</v>
      </c>
      <c r="H73" s="46" t="n">
        <v>5</v>
      </c>
      <c r="I73" s="46"/>
      <c r="J73" s="46" t="s">
        <v>162</v>
      </c>
      <c r="K73" s="46" t="s">
        <v>1264</v>
      </c>
      <c r="L73" s="46" t="s">
        <v>1100</v>
      </c>
      <c r="M73" s="46" t="s">
        <v>1265</v>
      </c>
      <c r="N73" s="46" t="s">
        <v>1288</v>
      </c>
    </row>
    <row r="74" customFormat="false" ht="12.75" hidden="false" customHeight="true" outlineLevel="0" collapsed="false">
      <c r="A74" s="46" t="n">
        <v>73</v>
      </c>
      <c r="B74" s="46" t="s">
        <v>545</v>
      </c>
      <c r="C74" s="46" t="s">
        <v>1116</v>
      </c>
      <c r="D74" s="46" t="s">
        <v>1289</v>
      </c>
      <c r="E74" s="47" t="s">
        <v>1290</v>
      </c>
      <c r="F74" s="46" t="s">
        <v>1099</v>
      </c>
      <c r="G74" s="46" t="s">
        <v>230</v>
      </c>
      <c r="H74" s="46" t="n">
        <v>5</v>
      </c>
      <c r="I74" s="46"/>
      <c r="J74" s="46" t="s">
        <v>162</v>
      </c>
      <c r="K74" s="46" t="s">
        <v>1264</v>
      </c>
      <c r="L74" s="46" t="s">
        <v>1100</v>
      </c>
      <c r="M74" s="46" t="s">
        <v>1265</v>
      </c>
      <c r="N74" s="46" t="s">
        <v>1291</v>
      </c>
    </row>
    <row r="75" customFormat="false" ht="12.75" hidden="false" customHeight="true" outlineLevel="0" collapsed="false">
      <c r="A75" s="46" t="n">
        <v>74</v>
      </c>
      <c r="B75" s="46" t="s">
        <v>551</v>
      </c>
      <c r="C75" s="46" t="s">
        <v>1116</v>
      </c>
      <c r="D75" s="46" t="s">
        <v>1292</v>
      </c>
      <c r="E75" s="47" t="s">
        <v>1293</v>
      </c>
      <c r="F75" s="46" t="s">
        <v>1099</v>
      </c>
      <c r="G75" s="46" t="s">
        <v>217</v>
      </c>
      <c r="H75" s="46" t="n">
        <v>2</v>
      </c>
      <c r="I75" s="46"/>
      <c r="J75" s="46" t="s">
        <v>162</v>
      </c>
      <c r="K75" s="46" t="s">
        <v>1264</v>
      </c>
      <c r="L75" s="46" t="s">
        <v>1100</v>
      </c>
      <c r="M75" s="46" t="s">
        <v>1265</v>
      </c>
      <c r="N75" s="46" t="s">
        <v>1294</v>
      </c>
    </row>
    <row r="76" customFormat="false" ht="12.75" hidden="false" customHeight="true" outlineLevel="0" collapsed="false">
      <c r="A76" s="46" t="n">
        <v>75</v>
      </c>
      <c r="B76" s="46" t="s">
        <v>556</v>
      </c>
      <c r="C76" s="46" t="s">
        <v>1116</v>
      </c>
      <c r="D76" s="46" t="s">
        <v>1295</v>
      </c>
      <c r="E76" s="47" t="s">
        <v>1296</v>
      </c>
      <c r="F76" s="46" t="s">
        <v>1099</v>
      </c>
      <c r="G76" s="46" t="s">
        <v>197</v>
      </c>
      <c r="H76" s="46" t="n">
        <v>5</v>
      </c>
      <c r="I76" s="46"/>
      <c r="J76" s="46" t="s">
        <v>166</v>
      </c>
      <c r="K76" s="46" t="s">
        <v>1188</v>
      </c>
      <c r="L76" s="46" t="s">
        <v>1100</v>
      </c>
      <c r="M76" s="46" t="s">
        <v>1297</v>
      </c>
      <c r="N76" s="46" t="s">
        <v>1298</v>
      </c>
    </row>
    <row r="77" customFormat="false" ht="12.75" hidden="false" customHeight="true" outlineLevel="0" collapsed="false">
      <c r="A77" s="46" t="n">
        <v>76</v>
      </c>
      <c r="B77" s="46" t="s">
        <v>562</v>
      </c>
      <c r="C77" s="46" t="s">
        <v>1116</v>
      </c>
      <c r="D77" s="46" t="s">
        <v>1299</v>
      </c>
      <c r="E77" s="47" t="s">
        <v>1300</v>
      </c>
      <c r="F77" s="46" t="s">
        <v>1099</v>
      </c>
      <c r="G77" s="46" t="s">
        <v>197</v>
      </c>
      <c r="H77" s="46" t="n">
        <v>5</v>
      </c>
      <c r="I77" s="46"/>
      <c r="J77" s="46" t="s">
        <v>166</v>
      </c>
      <c r="K77" s="46" t="s">
        <v>1188</v>
      </c>
      <c r="L77" s="46" t="s">
        <v>1100</v>
      </c>
      <c r="M77" s="46" t="s">
        <v>1297</v>
      </c>
      <c r="N77" s="46" t="s">
        <v>1301</v>
      </c>
    </row>
    <row r="78" customFormat="false" ht="12.75" hidden="false" customHeight="true" outlineLevel="0" collapsed="false">
      <c r="A78" s="46" t="n">
        <v>77</v>
      </c>
      <c r="B78" s="46" t="s">
        <v>566</v>
      </c>
      <c r="C78" s="46" t="s">
        <v>1116</v>
      </c>
      <c r="D78" s="46" t="s">
        <v>1302</v>
      </c>
      <c r="E78" s="47" t="s">
        <v>1303</v>
      </c>
      <c r="F78" s="46" t="s">
        <v>1099</v>
      </c>
      <c r="G78" s="46" t="s">
        <v>197</v>
      </c>
      <c r="H78" s="46" t="n">
        <v>5</v>
      </c>
      <c r="I78" s="46"/>
      <c r="J78" s="46" t="s">
        <v>166</v>
      </c>
      <c r="K78" s="46" t="s">
        <v>1188</v>
      </c>
      <c r="L78" s="46" t="s">
        <v>1100</v>
      </c>
      <c r="M78" s="46" t="s">
        <v>1297</v>
      </c>
      <c r="N78" s="46" t="s">
        <v>1304</v>
      </c>
    </row>
    <row r="79" customFormat="false" ht="12.75" hidden="false" customHeight="true" outlineLevel="0" collapsed="false">
      <c r="A79" s="46" t="n">
        <v>78</v>
      </c>
      <c r="B79" s="46" t="s">
        <v>570</v>
      </c>
      <c r="C79" s="46" t="s">
        <v>1137</v>
      </c>
      <c r="D79" s="46" t="s">
        <v>1305</v>
      </c>
      <c r="E79" s="47" t="s">
        <v>1306</v>
      </c>
      <c r="F79" s="46" t="s">
        <v>1099</v>
      </c>
      <c r="G79" s="46" t="s">
        <v>197</v>
      </c>
      <c r="H79" s="46" t="n">
        <v>8</v>
      </c>
      <c r="I79" s="46"/>
      <c r="J79" s="46" t="s">
        <v>166</v>
      </c>
      <c r="K79" s="46" t="s">
        <v>1188</v>
      </c>
      <c r="L79" s="46" t="s">
        <v>1100</v>
      </c>
      <c r="M79" s="46" t="s">
        <v>1297</v>
      </c>
      <c r="N79" s="46" t="s">
        <v>1307</v>
      </c>
    </row>
    <row r="80" customFormat="false" ht="12.75" hidden="false" customHeight="true" outlineLevel="0" collapsed="false">
      <c r="A80" s="46" t="n">
        <v>79</v>
      </c>
      <c r="B80" s="46" t="s">
        <v>578</v>
      </c>
      <c r="C80" s="46" t="s">
        <v>1137</v>
      </c>
      <c r="D80" s="46" t="s">
        <v>1308</v>
      </c>
      <c r="E80" s="47" t="s">
        <v>1309</v>
      </c>
      <c r="F80" s="46" t="s">
        <v>1099</v>
      </c>
      <c r="G80" s="46" t="s">
        <v>197</v>
      </c>
      <c r="H80" s="46" t="n">
        <v>5</v>
      </c>
      <c r="I80" s="46"/>
      <c r="J80" s="46" t="s">
        <v>166</v>
      </c>
      <c r="K80" s="46" t="s">
        <v>1188</v>
      </c>
      <c r="L80" s="46" t="s">
        <v>1100</v>
      </c>
      <c r="M80" s="46" t="s">
        <v>1297</v>
      </c>
      <c r="N80" s="46" t="s">
        <v>1310</v>
      </c>
    </row>
    <row r="81" customFormat="false" ht="12.75" hidden="false" customHeight="true" outlineLevel="0" collapsed="false">
      <c r="A81" s="46" t="n">
        <v>80</v>
      </c>
      <c r="B81" s="46" t="s">
        <v>586</v>
      </c>
      <c r="C81" s="46" t="s">
        <v>1137</v>
      </c>
      <c r="D81" s="46" t="s">
        <v>1311</v>
      </c>
      <c r="E81" s="47" t="s">
        <v>1312</v>
      </c>
      <c r="F81" s="46" t="s">
        <v>1099</v>
      </c>
      <c r="G81" s="46" t="s">
        <v>217</v>
      </c>
      <c r="H81" s="46" t="n">
        <v>3</v>
      </c>
      <c r="I81" s="46"/>
      <c r="J81" s="46" t="s">
        <v>166</v>
      </c>
      <c r="K81" s="46" t="s">
        <v>1188</v>
      </c>
      <c r="L81" s="46" t="s">
        <v>1100</v>
      </c>
      <c r="M81" s="46" t="s">
        <v>1297</v>
      </c>
      <c r="N81" s="46" t="s">
        <v>1313</v>
      </c>
    </row>
    <row r="82" customFormat="false" ht="12.75" hidden="false" customHeight="true" outlineLevel="0" collapsed="false">
      <c r="A82" s="46" t="n">
        <v>81</v>
      </c>
      <c r="B82" s="46" t="s">
        <v>592</v>
      </c>
      <c r="C82" s="46" t="s">
        <v>1137</v>
      </c>
      <c r="D82" s="46" t="s">
        <v>1314</v>
      </c>
      <c r="E82" s="47" t="s">
        <v>1315</v>
      </c>
      <c r="F82" s="46" t="s">
        <v>1099</v>
      </c>
      <c r="G82" s="46" t="s">
        <v>217</v>
      </c>
      <c r="H82" s="46" t="n">
        <v>5</v>
      </c>
      <c r="I82" s="46"/>
      <c r="J82" s="46" t="s">
        <v>166</v>
      </c>
      <c r="K82" s="46" t="s">
        <v>1188</v>
      </c>
      <c r="L82" s="46" t="s">
        <v>1100</v>
      </c>
      <c r="M82" s="46" t="s">
        <v>1297</v>
      </c>
      <c r="N82" s="46" t="s">
        <v>1316</v>
      </c>
    </row>
    <row r="83" customFormat="false" ht="12.75" hidden="false" customHeight="true" outlineLevel="0" collapsed="false">
      <c r="A83" s="46" t="n">
        <v>82</v>
      </c>
      <c r="B83" s="46" t="s">
        <v>599</v>
      </c>
      <c r="C83" s="46" t="s">
        <v>1137</v>
      </c>
      <c r="D83" s="46" t="s">
        <v>1317</v>
      </c>
      <c r="E83" s="47" t="s">
        <v>1318</v>
      </c>
      <c r="F83" s="46" t="s">
        <v>1099</v>
      </c>
      <c r="G83" s="46" t="s">
        <v>217</v>
      </c>
      <c r="H83" s="46" t="n">
        <v>5</v>
      </c>
      <c r="I83" s="46"/>
      <c r="J83" s="46" t="s">
        <v>166</v>
      </c>
      <c r="K83" s="46" t="s">
        <v>1188</v>
      </c>
      <c r="L83" s="46" t="s">
        <v>1100</v>
      </c>
      <c r="M83" s="46" t="s">
        <v>1297</v>
      </c>
      <c r="N83" s="46" t="s">
        <v>1319</v>
      </c>
    </row>
    <row r="84" customFormat="false" ht="12.75" hidden="false" customHeight="true" outlineLevel="0" collapsed="false">
      <c r="A84" s="46" t="n">
        <v>83</v>
      </c>
      <c r="B84" s="46" t="s">
        <v>607</v>
      </c>
      <c r="C84" s="46" t="s">
        <v>1137</v>
      </c>
      <c r="D84" s="46" t="s">
        <v>1320</v>
      </c>
      <c r="E84" s="47" t="s">
        <v>1321</v>
      </c>
      <c r="F84" s="46" t="s">
        <v>1099</v>
      </c>
      <c r="G84" s="46" t="s">
        <v>523</v>
      </c>
      <c r="H84" s="46" t="n">
        <v>2</v>
      </c>
      <c r="I84" s="46"/>
      <c r="J84" s="46" t="s">
        <v>166</v>
      </c>
      <c r="K84" s="46" t="s">
        <v>1188</v>
      </c>
      <c r="L84" s="46" t="s">
        <v>1100</v>
      </c>
      <c r="M84" s="46" t="s">
        <v>1297</v>
      </c>
      <c r="N84" s="46" t="s">
        <v>1313</v>
      </c>
    </row>
    <row r="85" customFormat="false" ht="12.75" hidden="false" customHeight="true" outlineLevel="0" collapsed="false">
      <c r="A85" s="46" t="n">
        <v>84</v>
      </c>
      <c r="B85" s="46" t="s">
        <v>614</v>
      </c>
      <c r="C85" s="46" t="s">
        <v>1137</v>
      </c>
      <c r="D85" s="46" t="s">
        <v>1322</v>
      </c>
      <c r="E85" s="47" t="s">
        <v>1323</v>
      </c>
      <c r="F85" s="46" t="s">
        <v>1099</v>
      </c>
      <c r="G85" s="46" t="s">
        <v>230</v>
      </c>
      <c r="H85" s="46" t="n">
        <v>3</v>
      </c>
      <c r="I85" s="46"/>
      <c r="J85" s="46" t="s">
        <v>166</v>
      </c>
      <c r="K85" s="46" t="s">
        <v>1188</v>
      </c>
      <c r="L85" s="46" t="s">
        <v>1100</v>
      </c>
      <c r="M85" s="46" t="s">
        <v>1297</v>
      </c>
      <c r="N85" s="46" t="s">
        <v>1313</v>
      </c>
    </row>
    <row r="86" customFormat="false" ht="12.75" hidden="false" customHeight="true" outlineLevel="0" collapsed="false">
      <c r="A86" s="46" t="n">
        <v>85</v>
      </c>
      <c r="B86" s="46" t="s">
        <v>621</v>
      </c>
      <c r="C86" s="46" t="s">
        <v>1137</v>
      </c>
      <c r="D86" s="46" t="s">
        <v>1324</v>
      </c>
      <c r="E86" s="47" t="s">
        <v>1325</v>
      </c>
      <c r="F86" s="46" t="s">
        <v>1099</v>
      </c>
      <c r="G86" s="46" t="s">
        <v>230</v>
      </c>
      <c r="H86" s="46" t="n">
        <v>3</v>
      </c>
      <c r="I86" s="46"/>
      <c r="J86" s="46" t="s">
        <v>166</v>
      </c>
      <c r="K86" s="46" t="s">
        <v>1188</v>
      </c>
      <c r="L86" s="46" t="s">
        <v>1100</v>
      </c>
      <c r="M86" s="46" t="s">
        <v>1297</v>
      </c>
      <c r="N86" s="46" t="s">
        <v>1313</v>
      </c>
    </row>
    <row r="87" customFormat="false" ht="12.75" hidden="false" customHeight="true" outlineLevel="0" collapsed="false">
      <c r="A87" s="46" t="n">
        <v>86</v>
      </c>
      <c r="B87" s="46" t="s">
        <v>627</v>
      </c>
      <c r="C87" s="46" t="s">
        <v>1137</v>
      </c>
      <c r="D87" s="46" t="s">
        <v>1326</v>
      </c>
      <c r="E87" s="47" t="s">
        <v>1327</v>
      </c>
      <c r="F87" s="46" t="s">
        <v>1099</v>
      </c>
      <c r="G87" s="46" t="s">
        <v>217</v>
      </c>
      <c r="H87" s="46" t="n">
        <v>5</v>
      </c>
      <c r="I87" s="46"/>
      <c r="J87" s="46" t="s">
        <v>166</v>
      </c>
      <c r="K87" s="46" t="s">
        <v>1188</v>
      </c>
      <c r="L87" s="46" t="s">
        <v>1100</v>
      </c>
      <c r="M87" s="46" t="s">
        <v>1297</v>
      </c>
      <c r="N87" s="46" t="s">
        <v>1328</v>
      </c>
    </row>
    <row r="88" customFormat="false" ht="12.75" hidden="false" customHeight="true" outlineLevel="0" collapsed="false">
      <c r="A88" s="46" t="n">
        <v>87</v>
      </c>
      <c r="B88" s="46" t="s">
        <v>635</v>
      </c>
      <c r="C88" s="46" t="s">
        <v>1137</v>
      </c>
      <c r="D88" s="46" t="s">
        <v>1329</v>
      </c>
      <c r="E88" s="47" t="s">
        <v>1330</v>
      </c>
      <c r="F88" s="46" t="s">
        <v>1099</v>
      </c>
      <c r="G88" s="46" t="s">
        <v>217</v>
      </c>
      <c r="H88" s="46" t="n">
        <v>3</v>
      </c>
      <c r="I88" s="46"/>
      <c r="J88" s="46" t="s">
        <v>166</v>
      </c>
      <c r="K88" s="46" t="s">
        <v>1188</v>
      </c>
      <c r="L88" s="46" t="s">
        <v>1100</v>
      </c>
      <c r="M88" s="46" t="s">
        <v>1297</v>
      </c>
      <c r="N88" s="46" t="s">
        <v>1301</v>
      </c>
    </row>
    <row r="89" customFormat="false" ht="12.75" hidden="false" customHeight="true" outlineLevel="0" collapsed="false">
      <c r="A89" s="46" t="n">
        <v>88</v>
      </c>
      <c r="B89" s="46" t="s">
        <v>641</v>
      </c>
      <c r="C89" s="46" t="s">
        <v>1137</v>
      </c>
      <c r="D89" s="46" t="s">
        <v>1331</v>
      </c>
      <c r="E89" s="47" t="s">
        <v>1332</v>
      </c>
      <c r="F89" s="46" t="s">
        <v>1099</v>
      </c>
      <c r="G89" s="46" t="s">
        <v>230</v>
      </c>
      <c r="H89" s="46" t="n">
        <v>3</v>
      </c>
      <c r="I89" s="46"/>
      <c r="J89" s="46" t="s">
        <v>166</v>
      </c>
      <c r="K89" s="46" t="s">
        <v>1188</v>
      </c>
      <c r="L89" s="46" t="s">
        <v>1100</v>
      </c>
      <c r="M89" s="46" t="s">
        <v>1297</v>
      </c>
      <c r="N89" s="46" t="s">
        <v>1333</v>
      </c>
    </row>
    <row r="90" customFormat="false" ht="12.75" hidden="false" customHeight="true" outlineLevel="0" collapsed="false">
      <c r="A90" s="46" t="n">
        <v>89</v>
      </c>
      <c r="B90" s="46" t="s">
        <v>648</v>
      </c>
      <c r="C90" s="46" t="s">
        <v>1137</v>
      </c>
      <c r="D90" s="46" t="s">
        <v>1334</v>
      </c>
      <c r="E90" s="47" t="s">
        <v>1335</v>
      </c>
      <c r="F90" s="46" t="s">
        <v>1099</v>
      </c>
      <c r="G90" s="46" t="s">
        <v>217</v>
      </c>
      <c r="H90" s="46" t="n">
        <v>5</v>
      </c>
      <c r="I90" s="46"/>
      <c r="J90" s="46" t="s">
        <v>166</v>
      </c>
      <c r="K90" s="46" t="s">
        <v>1188</v>
      </c>
      <c r="L90" s="46" t="s">
        <v>1100</v>
      </c>
      <c r="M90" s="46" t="s">
        <v>1297</v>
      </c>
      <c r="N90" s="46" t="s">
        <v>1336</v>
      </c>
    </row>
    <row r="91" customFormat="false" ht="12.75" hidden="false" customHeight="true" outlineLevel="0" collapsed="false">
      <c r="A91" s="46" t="n">
        <v>90</v>
      </c>
      <c r="B91" s="46" t="s">
        <v>655</v>
      </c>
      <c r="C91" s="46" t="s">
        <v>1137</v>
      </c>
      <c r="D91" s="46" t="s">
        <v>1337</v>
      </c>
      <c r="E91" s="47" t="s">
        <v>1338</v>
      </c>
      <c r="F91" s="46" t="s">
        <v>1099</v>
      </c>
      <c r="G91" s="46" t="s">
        <v>197</v>
      </c>
      <c r="H91" s="46" t="n">
        <v>5</v>
      </c>
      <c r="I91" s="46"/>
      <c r="J91" s="46" t="s">
        <v>166</v>
      </c>
      <c r="K91" s="46" t="s">
        <v>1188</v>
      </c>
      <c r="L91" s="46" t="s">
        <v>1100</v>
      </c>
      <c r="M91" s="46" t="s">
        <v>1297</v>
      </c>
      <c r="N91" s="46" t="s">
        <v>1339</v>
      </c>
    </row>
    <row r="92" customFormat="false" ht="12.75" hidden="false" customHeight="true" outlineLevel="0" collapsed="false">
      <c r="A92" s="46" t="n">
        <v>91</v>
      </c>
      <c r="B92" s="46" t="s">
        <v>662</v>
      </c>
      <c r="C92" s="46" t="s">
        <v>1137</v>
      </c>
      <c r="D92" s="46" t="s">
        <v>1340</v>
      </c>
      <c r="E92" s="47" t="s">
        <v>1341</v>
      </c>
      <c r="F92" s="46" t="s">
        <v>1099</v>
      </c>
      <c r="G92" s="46" t="s">
        <v>230</v>
      </c>
      <c r="H92" s="46" t="n">
        <v>3</v>
      </c>
      <c r="I92" s="46"/>
      <c r="J92" s="46" t="s">
        <v>166</v>
      </c>
      <c r="K92" s="46" t="s">
        <v>1188</v>
      </c>
      <c r="L92" s="46" t="s">
        <v>1100</v>
      </c>
      <c r="M92" s="46" t="s">
        <v>1297</v>
      </c>
      <c r="N92" s="46" t="s">
        <v>1342</v>
      </c>
    </row>
    <row r="93" customFormat="false" ht="12.75" hidden="false" customHeight="true" outlineLevel="0" collapsed="false">
      <c r="A93" s="46" t="n">
        <v>92</v>
      </c>
      <c r="B93" s="46" t="s">
        <v>669</v>
      </c>
      <c r="C93" s="46" t="s">
        <v>1137</v>
      </c>
      <c r="D93" s="46" t="s">
        <v>1343</v>
      </c>
      <c r="E93" s="47" t="s">
        <v>1344</v>
      </c>
      <c r="F93" s="46" t="s">
        <v>1099</v>
      </c>
      <c r="G93" s="46" t="s">
        <v>230</v>
      </c>
      <c r="H93" s="46" t="n">
        <v>5</v>
      </c>
      <c r="I93" s="46"/>
      <c r="J93" s="46" t="s">
        <v>166</v>
      </c>
      <c r="K93" s="46" t="s">
        <v>1188</v>
      </c>
      <c r="L93" s="46" t="s">
        <v>1100</v>
      </c>
      <c r="M93" s="46" t="s">
        <v>1297</v>
      </c>
      <c r="N93" s="46" t="s">
        <v>1345</v>
      </c>
    </row>
    <row r="94" customFormat="false" ht="12.75" hidden="false" customHeight="true" outlineLevel="0" collapsed="false">
      <c r="A94" s="46" t="n">
        <v>93</v>
      </c>
      <c r="B94" s="46" t="s">
        <v>676</v>
      </c>
      <c r="C94" s="46" t="s">
        <v>1116</v>
      </c>
      <c r="D94" s="46" t="s">
        <v>1346</v>
      </c>
      <c r="E94" s="47" t="s">
        <v>1347</v>
      </c>
      <c r="F94" s="46" t="s">
        <v>1099</v>
      </c>
      <c r="G94" s="46" t="s">
        <v>217</v>
      </c>
      <c r="H94" s="46" t="n">
        <v>5</v>
      </c>
      <c r="I94" s="46"/>
      <c r="J94" s="46" t="s">
        <v>166</v>
      </c>
      <c r="K94" s="46" t="s">
        <v>1188</v>
      </c>
      <c r="L94" s="46" t="s">
        <v>1100</v>
      </c>
      <c r="M94" s="46" t="s">
        <v>1297</v>
      </c>
      <c r="N94" s="46" t="s">
        <v>1348</v>
      </c>
    </row>
    <row r="95" customFormat="false" ht="12.75" hidden="false" customHeight="true" outlineLevel="0" collapsed="false">
      <c r="A95" s="46" t="n">
        <v>94</v>
      </c>
      <c r="B95" s="46" t="s">
        <v>681</v>
      </c>
      <c r="C95" s="46" t="s">
        <v>1116</v>
      </c>
      <c r="D95" s="46" t="s">
        <v>1349</v>
      </c>
      <c r="E95" s="47" t="s">
        <v>1350</v>
      </c>
      <c r="F95" s="46" t="s">
        <v>1099</v>
      </c>
      <c r="G95" s="46" t="s">
        <v>217</v>
      </c>
      <c r="H95" s="46" t="n">
        <v>3</v>
      </c>
      <c r="I95" s="46"/>
      <c r="J95" s="46" t="s">
        <v>166</v>
      </c>
      <c r="K95" s="46" t="s">
        <v>1188</v>
      </c>
      <c r="L95" s="46" t="s">
        <v>1100</v>
      </c>
      <c r="M95" s="46" t="s">
        <v>1297</v>
      </c>
      <c r="N95" s="46" t="s">
        <v>1348</v>
      </c>
    </row>
    <row r="96" customFormat="false" ht="12.75" hidden="false" customHeight="true" outlineLevel="0" collapsed="false">
      <c r="A96" s="46" t="n">
        <v>95</v>
      </c>
      <c r="B96" s="46" t="s">
        <v>685</v>
      </c>
      <c r="C96" s="46" t="s">
        <v>1116</v>
      </c>
      <c r="D96" s="46" t="s">
        <v>1351</v>
      </c>
      <c r="E96" s="47" t="s">
        <v>1352</v>
      </c>
      <c r="F96" s="46" t="s">
        <v>1099</v>
      </c>
      <c r="G96" s="46" t="s">
        <v>197</v>
      </c>
      <c r="H96" s="46" t="n">
        <v>5</v>
      </c>
      <c r="I96" s="46"/>
      <c r="J96" s="46" t="s">
        <v>170</v>
      </c>
      <c r="K96" s="46" t="s">
        <v>1170</v>
      </c>
      <c r="L96" s="46" t="s">
        <v>1100</v>
      </c>
      <c r="M96" s="46" t="s">
        <v>1353</v>
      </c>
      <c r="N96" s="46" t="s">
        <v>1167</v>
      </c>
    </row>
    <row r="97" customFormat="false" ht="12.75" hidden="false" customHeight="true" outlineLevel="0" collapsed="false">
      <c r="A97" s="46" t="n">
        <v>96</v>
      </c>
      <c r="B97" s="46" t="s">
        <v>690</v>
      </c>
      <c r="C97" s="46" t="s">
        <v>1116</v>
      </c>
      <c r="D97" s="46" t="s">
        <v>1354</v>
      </c>
      <c r="E97" s="47" t="s">
        <v>1355</v>
      </c>
      <c r="F97" s="46" t="s">
        <v>1099</v>
      </c>
      <c r="G97" s="46" t="s">
        <v>197</v>
      </c>
      <c r="H97" s="46" t="n">
        <v>3</v>
      </c>
      <c r="I97" s="46"/>
      <c r="J97" s="46" t="s">
        <v>170</v>
      </c>
      <c r="K97" s="46" t="s">
        <v>1170</v>
      </c>
      <c r="L97" s="46" t="s">
        <v>1100</v>
      </c>
      <c r="M97" s="46" t="s">
        <v>1353</v>
      </c>
      <c r="N97" s="46" t="s">
        <v>1356</v>
      </c>
    </row>
    <row r="98" customFormat="false" ht="12.75" hidden="false" customHeight="true" outlineLevel="0" collapsed="false">
      <c r="A98" s="46" t="n">
        <v>97</v>
      </c>
      <c r="B98" s="46" t="s">
        <v>694</v>
      </c>
      <c r="C98" s="46" t="s">
        <v>1116</v>
      </c>
      <c r="D98" s="46" t="s">
        <v>1357</v>
      </c>
      <c r="E98" s="47" t="s">
        <v>1358</v>
      </c>
      <c r="F98" s="46" t="s">
        <v>1099</v>
      </c>
      <c r="G98" s="46" t="s">
        <v>230</v>
      </c>
      <c r="H98" s="46" t="n">
        <v>3</v>
      </c>
      <c r="I98" s="46"/>
      <c r="J98" s="46" t="s">
        <v>170</v>
      </c>
      <c r="K98" s="46" t="s">
        <v>1170</v>
      </c>
      <c r="L98" s="46" t="s">
        <v>1100</v>
      </c>
      <c r="M98" s="46" t="s">
        <v>1353</v>
      </c>
      <c r="N98" s="46" t="s">
        <v>1123</v>
      </c>
    </row>
    <row r="99" customFormat="false" ht="12.75" hidden="false" customHeight="true" outlineLevel="0" collapsed="false">
      <c r="A99" s="46" t="n">
        <v>98</v>
      </c>
      <c r="B99" s="46" t="s">
        <v>698</v>
      </c>
      <c r="C99" s="46" t="s">
        <v>1116</v>
      </c>
      <c r="D99" s="46" t="s">
        <v>1359</v>
      </c>
      <c r="E99" s="47" t="s">
        <v>1360</v>
      </c>
      <c r="F99" s="46" t="s">
        <v>1099</v>
      </c>
      <c r="G99" s="46" t="s">
        <v>230</v>
      </c>
      <c r="H99" s="46" t="n">
        <v>2</v>
      </c>
      <c r="I99" s="46"/>
      <c r="J99" s="46" t="s">
        <v>170</v>
      </c>
      <c r="K99" s="46" t="s">
        <v>1119</v>
      </c>
      <c r="L99" s="46" t="s">
        <v>1100</v>
      </c>
      <c r="M99" s="46" t="s">
        <v>1361</v>
      </c>
      <c r="N99" s="46" t="s">
        <v>1362</v>
      </c>
    </row>
    <row r="100" customFormat="false" ht="12.75" hidden="false" customHeight="true" outlineLevel="0" collapsed="false">
      <c r="A100" s="46" t="n">
        <v>99</v>
      </c>
      <c r="B100" s="46" t="s">
        <v>702</v>
      </c>
      <c r="C100" s="46" t="s">
        <v>1116</v>
      </c>
      <c r="D100" s="46" t="s">
        <v>1363</v>
      </c>
      <c r="E100" s="47" t="s">
        <v>1364</v>
      </c>
      <c r="F100" s="46" t="s">
        <v>1099</v>
      </c>
      <c r="G100" s="46" t="s">
        <v>230</v>
      </c>
      <c r="H100" s="46" t="n">
        <v>3</v>
      </c>
      <c r="I100" s="46"/>
      <c r="J100" s="46" t="s">
        <v>170</v>
      </c>
      <c r="K100" s="46" t="s">
        <v>1170</v>
      </c>
      <c r="L100" s="46" t="s">
        <v>1100</v>
      </c>
      <c r="M100" s="46" t="s">
        <v>1353</v>
      </c>
      <c r="N100" s="46" t="s">
        <v>1356</v>
      </c>
    </row>
    <row r="101" customFormat="false" ht="12.75" hidden="false" customHeight="true" outlineLevel="0" collapsed="false">
      <c r="A101" s="46" t="n">
        <v>100</v>
      </c>
      <c r="B101" s="46" t="s">
        <v>707</v>
      </c>
      <c r="C101" s="46" t="s">
        <v>1116</v>
      </c>
      <c r="D101" s="46" t="s">
        <v>1365</v>
      </c>
      <c r="E101" s="47" t="s">
        <v>1366</v>
      </c>
      <c r="F101" s="46" t="s">
        <v>1099</v>
      </c>
      <c r="G101" s="46" t="s">
        <v>197</v>
      </c>
      <c r="H101" s="46" t="n">
        <v>3</v>
      </c>
      <c r="I101" s="46"/>
      <c r="J101" s="46" t="s">
        <v>174</v>
      </c>
      <c r="K101" s="46" t="s">
        <v>1119</v>
      </c>
      <c r="L101" s="46" t="s">
        <v>1100</v>
      </c>
      <c r="M101" s="46" t="s">
        <v>1120</v>
      </c>
      <c r="N101" s="46" t="s">
        <v>1158</v>
      </c>
    </row>
    <row r="102" customFormat="false" ht="12.75" hidden="false" customHeight="true" outlineLevel="0" collapsed="false">
      <c r="A102" s="46" t="n">
        <v>101</v>
      </c>
      <c r="B102" s="46" t="s">
        <v>712</v>
      </c>
      <c r="C102" s="46" t="s">
        <v>1116</v>
      </c>
      <c r="D102" s="46" t="s">
        <v>1367</v>
      </c>
      <c r="E102" s="47" t="s">
        <v>1368</v>
      </c>
      <c r="F102" s="46" t="s">
        <v>1099</v>
      </c>
      <c r="G102" s="46" t="s">
        <v>197</v>
      </c>
      <c r="H102" s="46" t="n">
        <v>3</v>
      </c>
      <c r="I102" s="46"/>
      <c r="J102" s="46" t="s">
        <v>174</v>
      </c>
      <c r="K102" s="46" t="s">
        <v>1188</v>
      </c>
      <c r="L102" s="46" t="s">
        <v>1100</v>
      </c>
      <c r="M102" s="46" t="s">
        <v>1369</v>
      </c>
      <c r="N102" s="46" t="s">
        <v>1370</v>
      </c>
    </row>
    <row r="103" customFormat="false" ht="12.75" hidden="false" customHeight="true" outlineLevel="0" collapsed="false">
      <c r="A103" s="46" t="n">
        <v>102</v>
      </c>
      <c r="B103" s="46" t="s">
        <v>716</v>
      </c>
      <c r="C103" s="46" t="s">
        <v>1116</v>
      </c>
      <c r="D103" s="46" t="s">
        <v>1371</v>
      </c>
      <c r="E103" s="47" t="s">
        <v>1372</v>
      </c>
      <c r="F103" s="46" t="s">
        <v>1099</v>
      </c>
      <c r="G103" s="46" t="s">
        <v>217</v>
      </c>
      <c r="H103" s="46" t="n">
        <v>3</v>
      </c>
      <c r="I103" s="46"/>
      <c r="J103" s="46" t="s">
        <v>174</v>
      </c>
      <c r="K103" s="46" t="s">
        <v>1170</v>
      </c>
      <c r="L103" s="46" t="s">
        <v>1100</v>
      </c>
      <c r="M103" s="46" t="s">
        <v>1373</v>
      </c>
      <c r="N103" s="46" t="s">
        <v>1141</v>
      </c>
    </row>
    <row r="104" customFormat="false" ht="12.75" hidden="false" customHeight="true" outlineLevel="0" collapsed="false">
      <c r="A104" s="46" t="n">
        <v>103</v>
      </c>
      <c r="B104" s="46" t="s">
        <v>720</v>
      </c>
      <c r="C104" s="46" t="s">
        <v>1116</v>
      </c>
      <c r="D104" s="46" t="s">
        <v>1374</v>
      </c>
      <c r="E104" s="47" t="s">
        <v>1375</v>
      </c>
      <c r="F104" s="46" t="s">
        <v>1099</v>
      </c>
      <c r="G104" s="46" t="s">
        <v>197</v>
      </c>
      <c r="H104" s="46" t="n">
        <v>5</v>
      </c>
      <c r="I104" s="46"/>
      <c r="J104" s="46" t="s">
        <v>174</v>
      </c>
      <c r="K104" s="46" t="s">
        <v>1219</v>
      </c>
      <c r="L104" s="46" t="s">
        <v>1100</v>
      </c>
      <c r="M104" s="46" t="s">
        <v>1376</v>
      </c>
      <c r="N104" s="46" t="s">
        <v>1377</v>
      </c>
    </row>
    <row r="105" customFormat="false" ht="12.75" hidden="false" customHeight="true" outlineLevel="0" collapsed="false">
      <c r="A105" s="46" t="n">
        <v>104</v>
      </c>
      <c r="B105" s="46" t="s">
        <v>724</v>
      </c>
      <c r="C105" s="46" t="s">
        <v>1116</v>
      </c>
      <c r="D105" s="46" t="s">
        <v>1378</v>
      </c>
      <c r="E105" s="47" t="s">
        <v>1379</v>
      </c>
      <c r="F105" s="46" t="s">
        <v>1099</v>
      </c>
      <c r="G105" s="46" t="s">
        <v>230</v>
      </c>
      <c r="H105" s="46" t="n">
        <v>3</v>
      </c>
      <c r="I105" s="46"/>
      <c r="J105" s="46" t="s">
        <v>174</v>
      </c>
      <c r="K105" s="46" t="s">
        <v>1170</v>
      </c>
      <c r="L105" s="46" t="s">
        <v>1100</v>
      </c>
      <c r="M105" s="46" t="s">
        <v>1373</v>
      </c>
      <c r="N105" s="46" t="s">
        <v>1193</v>
      </c>
    </row>
    <row r="106" customFormat="false" ht="12.75" hidden="false" customHeight="true" outlineLevel="0" collapsed="false">
      <c r="A106" s="46" t="n">
        <v>105</v>
      </c>
      <c r="B106" s="46" t="s">
        <v>728</v>
      </c>
      <c r="C106" s="46" t="s">
        <v>1116</v>
      </c>
      <c r="D106" s="46" t="s">
        <v>1380</v>
      </c>
      <c r="E106" s="47" t="s">
        <v>1381</v>
      </c>
      <c r="F106" s="46" t="s">
        <v>1099</v>
      </c>
      <c r="G106" s="46" t="s">
        <v>217</v>
      </c>
      <c r="H106" s="46" t="n">
        <v>5</v>
      </c>
      <c r="I106" s="46"/>
      <c r="J106" s="46" t="s">
        <v>174</v>
      </c>
      <c r="K106" s="46" t="s">
        <v>1219</v>
      </c>
      <c r="L106" s="46" t="s">
        <v>1100</v>
      </c>
      <c r="M106" s="46" t="s">
        <v>1376</v>
      </c>
      <c r="N106" s="46" t="s">
        <v>1382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2026-09-04T23:40:58Z</dcterms:created>
  <dc:creator>openpyxl</dc:creator>
  <dc:description/>
  <dc:language>en-US</dc:language>
  <cp:lastModifiedBy/>
  <dcterms:modified xsi:type="dcterms:W3CDTF">2026-09-04T23:40:59Z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