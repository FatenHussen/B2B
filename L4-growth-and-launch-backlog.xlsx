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Epics" sheetId="2" state="visible" r:id="rId4"/>
    <sheet name="Backlog" sheetId="3" state="visible" r:id="rId5"/>
    <sheet name="Roadmap" sheetId="4" state="visible" r:id="rId6"/>
    <sheet name="Dependencies" sheetId="5" state="visible" r:id="rId7"/>
    <sheet name="Business Rules" sheetId="6" state="visible" r:id="rId8"/>
    <sheet name="Acceptance Criteria" sheetId="7" state="visible" r:id="rId9"/>
    <sheet name="Data Model" sheetId="8" state="visible" r:id="rId10"/>
    <sheet name="Events" sheetId="9" state="visible" r:id="rId11"/>
    <sheet name="Risks" sheetId="10" state="visible" r:id="rId12"/>
    <sheet name="Jira Import" sheetId="11" state="visible" r:id="rId13"/>
  </sheets>
  <definedNames>
    <definedName function="false" hidden="false" localSheetId="6" name="_xlnm.Print_Titles" vbProcedure="false">'Acceptance Criteria'!$1:$1</definedName>
    <definedName function="false" hidden="false" localSheetId="2" name="_xlnm.Print_Titles" vbProcedure="false">Backlog!$1:$1</definedName>
    <definedName function="false" hidden="true" localSheetId="2" name="_xlnm._FilterDatabase" vbProcedure="false">Backlog!$A$1:$O$37</definedName>
    <definedName function="false" hidden="false" localSheetId="5" name="_xlnm.Print_Titles" vbProcedure="false">'Business Rules'!$1:$1</definedName>
    <definedName function="false" hidden="false" localSheetId="7" name="_xlnm.Print_Titles" vbProcedure="false">'Data Model'!$1:$1</definedName>
    <definedName function="false" hidden="false" localSheetId="4" name="_xlnm.Print_Titles" vbProcedure="false">Dependencies!$1:$1</definedName>
    <definedName function="false" hidden="true" localSheetId="4" name="_xlnm._FilterDatabase" vbProcedure="false">Dependencies!$A$1:$H$49</definedName>
    <definedName function="false" hidden="false" localSheetId="1" name="_xlnm.Print_Titles" vbProcedure="false">Epics!$1:$1</definedName>
    <definedName function="false" hidden="false" localSheetId="8" name="_xlnm.Print_Titles" vbProcedure="false">Events!$1:$1</definedName>
    <definedName function="false" hidden="false" localSheetId="10" name="_xlnm.Print_Titles" vbProcedure="false">'Jira Import'!$1:$1</definedName>
    <definedName function="false" hidden="false" localSheetId="9" name="_xlnm.Print_Titles" vbProcedure="false">Risks!$1:$1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<sst xmlns="http://schemas.openxmlformats.org/spreadsheetml/2006/main" count="1956" uniqueCount="744">
  <si>
    <t xml:space="preserve">Layer 4 — growth, reporting and launch</t>
  </si>
  <si>
    <t xml:space="preserve">Sprints 14 to 18 in DOC-02. Content, notifications, loyalty, reporting, support, platform billing, hardening, the pilot and the general release.</t>
  </si>
  <si>
    <t xml:space="preserve">This layer in one line</t>
  </si>
  <si>
    <t xml:space="preserve">Deliverable</t>
  </si>
  <si>
    <t xml:space="preserve">A pilot with real users in a real zone, then a stable general release.</t>
  </si>
  <si>
    <t xml:space="preserve">Sprints</t>
  </si>
  <si>
    <t xml:space="preserve">SP-14, SP-15, SP-16, SP-17, SP-18  (DOC-02 §23)</t>
  </si>
  <si>
    <t xml:space="preserve">Depends on</t>
  </si>
  <si>
    <t xml:space="preserve">Layer 3 (L3-field-operations-backlog.xlsx) — the operational cycle this layer measures and grows.</t>
  </si>
  <si>
    <t xml:space="preserve">Followed by</t>
  </si>
  <si>
    <t xml:space="preserve">None. This layer ends at the general release.</t>
  </si>
  <si>
    <t xml:space="preserve">Read this first</t>
  </si>
  <si>
    <t xml:space="preserve">Hardening here is not polish. AC-01 to AC-10 are measured with real users in the street, and a failure on any one of them blocks the pilot rather than being logged for later.</t>
  </si>
  <si>
    <t xml:space="preserve">Contents</t>
  </si>
  <si>
    <t xml:space="preserve">Epics</t>
  </si>
  <si>
    <t xml:space="preserve">The epics of this layer with their volume and sprints.</t>
  </si>
  <si>
    <t xml:space="preserve">Backlog</t>
  </si>
  <si>
    <t xml:space="preserve">Every issue in this layer, backend and frontend, with full requirements and acceptance criteria readable in place.</t>
  </si>
  <si>
    <t xml:space="preserve">Roadmap</t>
  </si>
  <si>
    <t xml:space="preserve">Points by sprint and side, and by unit. All figures are live formulas over the Backlog sheet.</t>
  </si>
  <si>
    <t xml:space="preserve">Dependencies</t>
  </si>
  <si>
    <t xml:space="preserve">One row per blocking link, including links reaching back into earlier layers.</t>
  </si>
  <si>
    <t xml:space="preserve">Business Rules</t>
  </si>
  <si>
    <t xml:space="preserve">BR-01…BR-20 and REQ-IN-01…08 with the enforcing issue. Rules delivered in this layer are highlighted.</t>
  </si>
  <si>
    <t xml:space="preserve">Acceptance Criteria</t>
  </si>
  <si>
    <t xml:space="preserve">AC-01…AC-10 from DOC-06 §9.1 with the issues that satisfy each, flagged for this layer.</t>
  </si>
  <si>
    <t xml:space="preserve">Data Model</t>
  </si>
  <si>
    <t xml:space="preserve">The tables this layer creates.</t>
  </si>
  <si>
    <t xml:space="preserve">Events</t>
  </si>
  <si>
    <t xml:space="preserve">Inter-module events, with the ones this layer delivers highlighted.</t>
  </si>
  <si>
    <t xml:space="preserve">Risks</t>
  </si>
  <si>
    <t xml:space="preserve">The risks that bite in this layer, with the mitigating issue.</t>
  </si>
  <si>
    <t xml:space="preserve">Jira Import</t>
  </si>
  <si>
    <t xml:space="preserve">Flat machine-readable sheet. Save this tab alone as CSV UTF-8 and import.</t>
  </si>
  <si>
    <t xml:space="preserve">Contract status — read before importing</t>
  </si>
  <si>
    <t xml:space="preserve">The gap</t>
  </si>
  <si>
    <t xml:space="preserve">Layer 1 issues carried real EP-IDs because the five frontend briefs named them. The API catalog itself was never provided, so no issue in this workbook carries an endpoint identifier.</t>
  </si>
  <si>
    <t xml:space="preserve">What this means</t>
  </si>
  <si>
    <t xml:space="preserve">Every issue states behaviour, requirements and acceptance criteria, all traceable to a source document. None states a path. The path must come from the catalog before the issue is pulled.</t>
  </si>
  <si>
    <t xml:space="preserve">The rule to keep</t>
  </si>
  <si>
    <t xml:space="preserve">No ticket without a contract. Importing is fine; starting an issue while its Contract column reads Proposed is not.</t>
  </si>
  <si>
    <t xml:space="preserve">Definition of done — applies to every issue</t>
  </si>
  <si>
    <t xml:space="preserve">1.</t>
  </si>
  <si>
    <t xml:space="preserve">Merged after peer review; Larastan level 6, Pint and Rector pass; Deptrac and the architecture suite pass.</t>
  </si>
  <si>
    <t xml:space="preserve">2.</t>
  </si>
  <si>
    <t xml:space="preserve">Unit and feature tests green: 90%+ on engines and money paths, 75%+ on endpoints, permissions and isolation.</t>
  </si>
  <si>
    <t xml:space="preserve">3.</t>
  </si>
  <si>
    <t xml:space="preserve">Every write carries X-Idempotency-Key unless it is on the documented exemption list.</t>
  </si>
  <si>
    <t xml:space="preserve">4.</t>
  </si>
  <si>
    <t xml:space="preserve">Every channel endpoint has an isolation test proving another channel receives 404.</t>
  </si>
  <si>
    <t xml:space="preserve">5.</t>
  </si>
  <si>
    <t xml:space="preserve">All amounts, limits and rates are integers; no float exists on any money path.</t>
  </si>
  <si>
    <t xml:space="preserve">6.</t>
  </si>
  <si>
    <t xml:space="preserve">Every state transition goes through the lifecycle service and is logged with actor and reason.</t>
  </si>
  <si>
    <t xml:space="preserve">7.</t>
  </si>
  <si>
    <t xml:space="preserve">Errors follow the unified envelope and the HTTP status map.</t>
  </si>
  <si>
    <t xml:space="preserve">8.</t>
  </si>
  <si>
    <t xml:space="preserve">Mobile work functions correctly with the network disconnected and syncs without loss or duplication.</t>
  </si>
  <si>
    <t xml:space="preserve">9.</t>
  </si>
  <si>
    <t xml:space="preserve">The OpenAPI document is regenerated and the typed client still builds.</t>
  </si>
  <si>
    <t xml:space="preserve">10.</t>
  </si>
  <si>
    <t xml:space="preserve">Deployed to the test environment and accepted by the product owner.</t>
  </si>
  <si>
    <t xml:space="preserve">Totals</t>
  </si>
  <si>
    <t xml:space="preserve">Issues in this layer</t>
  </si>
  <si>
    <t xml:space="preserve">Points in this layer</t>
  </si>
  <si>
    <t xml:space="preserve">Backend issues</t>
  </si>
  <si>
    <t xml:space="preserve">Frontend issues</t>
  </si>
  <si>
    <t xml:space="preserve">Blocking links</t>
  </si>
  <si>
    <t xml:space="preserve">48</t>
  </si>
  <si>
    <t xml:space="preserve">Tables created</t>
  </si>
  <si>
    <t xml:space="preserve">25</t>
  </si>
  <si>
    <t xml:space="preserve">Epic key</t>
  </si>
  <si>
    <t xml:space="preserve">Epic name</t>
  </si>
  <si>
    <t xml:space="preserve">Covers</t>
  </si>
  <si>
    <t xml:space="preserve">Issues</t>
  </si>
  <si>
    <t xml:space="preserve">Points</t>
  </si>
  <si>
    <t xml:space="preserve">EP-L4-CNT</t>
  </si>
  <si>
    <t xml:space="preserve">Content and marketing</t>
  </si>
  <si>
    <t xml:space="preserve">Intro, banners, dynamic sliders, algorithms, legal pages</t>
  </si>
  <si>
    <t xml:space="preserve">SP-14</t>
  </si>
  <si>
    <t xml:space="preserve">EP-L4-NTF</t>
  </si>
  <si>
    <t xml:space="preserve">Notifications and campaigns</t>
  </si>
  <si>
    <t xml:space="preserve">Templates, targeting, scheduling, three channels, delivery log</t>
  </si>
  <si>
    <t xml:space="preserve">EP-L4-LOY</t>
  </si>
  <si>
    <t xml:space="preserve">Loyalty</t>
  </si>
  <si>
    <t xml:space="preserve">Point rules, tiers, rewards, redemption</t>
  </si>
  <si>
    <t xml:space="preserve">SP-15</t>
  </si>
  <si>
    <t xml:space="preserve">EP-L4-RPT</t>
  </si>
  <si>
    <t xml:space="preserve">Reporting</t>
  </si>
  <si>
    <t xml:space="preserve">Daily snapshots, dashboards, the nine report families, background export</t>
  </si>
  <si>
    <t xml:space="preserve">SP-15, SP-16</t>
  </si>
  <si>
    <t xml:space="preserve">EP-L4-SUP</t>
  </si>
  <si>
    <t xml:space="preserve">Support and platform ops</t>
  </si>
  <si>
    <t xml:space="preserve">Tickets, unified search, 360 view, impersonation, system health</t>
  </si>
  <si>
    <t xml:space="preserve">SP-16</t>
  </si>
  <si>
    <t xml:space="preserve">EP-L4-BIL</t>
  </si>
  <si>
    <t xml:space="preserve">Platform billing</t>
  </si>
  <si>
    <t xml:space="preserve">Plans, subscriptions, platform invoices, dunning</t>
  </si>
  <si>
    <t xml:space="preserve">SP-17</t>
  </si>
  <si>
    <t xml:space="preserve">EP-L4-HRD</t>
  </si>
  <si>
    <t xml:space="preserve">Hardening and launch</t>
  </si>
  <si>
    <t xml:space="preserve">Performance, security, load, pilot, general release</t>
  </si>
  <si>
    <t xml:space="preserve">SP-16, SP-17, SP-18</t>
  </si>
  <si>
    <t xml:space="preserve">EP-L4-FE</t>
  </si>
  <si>
    <t xml:space="preserve">Layer 4 frontend</t>
  </si>
  <si>
    <t xml:space="preserve">Growth screens across the five products</t>
  </si>
  <si>
    <t xml:space="preserve">SP-14, SP-15, SP-16, SP-17</t>
  </si>
  <si>
    <t xml:space="preserve">Key</t>
  </si>
  <si>
    <t xml:space="preserve">Side</t>
  </si>
  <si>
    <t xml:space="preserve">Unit</t>
  </si>
  <si>
    <t xml:space="preserve">Title</t>
  </si>
  <si>
    <t xml:space="preserve">Epic</t>
  </si>
  <si>
    <t xml:space="preserve">Sprint</t>
  </si>
  <si>
    <t xml:space="preserve">Tables</t>
  </si>
  <si>
    <t xml:space="preserve">Requirements</t>
  </si>
  <si>
    <t xml:space="preserve">Acceptance criteria</t>
  </si>
  <si>
    <t xml:space="preserve">Out of scope</t>
  </si>
  <si>
    <t xml:space="preserve">Priority</t>
  </si>
  <si>
    <t xml:space="preserve">Blocked by</t>
  </si>
  <si>
    <t xml:space="preserve">Contract</t>
  </si>
  <si>
    <t xml:space="preserve">BE4-CNT01</t>
  </si>
  <si>
    <t xml:space="preserve">Backend</t>
  </si>
  <si>
    <t xml:space="preserve">Content</t>
  </si>
  <si>
    <t xml:space="preserve">Intro and legal pages</t>
  </si>
  <si>
    <t xml:space="preserve">intros, legal_pages</t>
  </si>
  <si>
    <t xml:space="preserve">—</t>
  </si>
  <si>
    <t xml:space="preserve">1. Control the opening screen of both apps: enable, welcome text, logo, image or video, display duration.
2. Target a different intro per activity type or per zone.
3. Versioned terms and privacy policy with an acceptance record per user, required for store approval (NEED-C-08).</t>
  </si>
  <si>
    <t xml:space="preserve">☐  A terms change requires re-acceptance and the acceptance is recorded per version.
☐  Disabling the intro takes effect without an app release.</t>
  </si>
  <si>
    <t xml:space="preserve">Nothing beyond the epic scope.</t>
  </si>
  <si>
    <t xml:space="preserve">Medium</t>
  </si>
  <si>
    <t xml:space="preserve">BE-T04</t>
  </si>
  <si>
    <t xml:space="preserve">Proposed</t>
  </si>
  <si>
    <t xml:space="preserve">BE4-CNT02</t>
  </si>
  <si>
    <t xml:space="preserve">Banners</t>
  </si>
  <si>
    <t xml:space="preserve">banners</t>
  </si>
  <si>
    <t xml:space="preserve">1. Media type image, video or GIF; link internal, external or none.
2. Placements: home, root and sub categories, brand pages, offers page, product page.
3. Targeting by activity, zone, retailer group and app; a scheduled date window; order and random weight.
4. Measurement: impressions, clicks and click-through rate.</t>
  </si>
  <si>
    <t xml:space="preserve">☐  A banner outside its window is never served.
☐  Impression and click counts are server side and auditable.</t>
  </si>
  <si>
    <t xml:space="preserve">High</t>
  </si>
  <si>
    <t xml:space="preserve">BE4-CNT03</t>
  </si>
  <si>
    <t xml:space="preserve">Dynamic sliders and algorithms</t>
  </si>
  <si>
    <t xml:space="preserve">sliders, slider_items</t>
  </si>
  <si>
    <t xml:space="preserve">1. Unlimited sliders with a name, order and placement.
2. Sources: manual selection, brand, category, offer set, or an algorithm.
3. Algorithms: newly arrived, best selling, most ordered by this retailer, suggested for you, similar products, same brand, also bought.
4. The same engine serves the rep app with its own sliders.</t>
  </si>
  <si>
    <t xml:space="preserve">☐  An algorithm slider is personalised per retailer and returns within the list budget.
☐  A slider with no eligible items is omitted rather than rendered empty.</t>
  </si>
  <si>
    <t xml:space="preserve">BE4-CNT02, BE2-CAT07</t>
  </si>
  <si>
    <t xml:space="preserve">BE4-CNT04</t>
  </si>
  <si>
    <t xml:space="preserve">App version gating</t>
  </si>
  <si>
    <t xml:space="preserve">app_versions</t>
  </si>
  <si>
    <t xml:space="preserve">1. A minimum supported version per client; older builds receive 426 upgrade_required.
2. A soft-update notice above the minimum.</t>
  </si>
  <si>
    <t xml:space="preserve">☐  A build below the minimum cannot call any write endpoint.</t>
  </si>
  <si>
    <t xml:space="preserve">BE-C02</t>
  </si>
  <si>
    <t xml:space="preserve">BE4-NTF01</t>
  </si>
  <si>
    <t xml:space="preserve">Notification</t>
  </si>
  <si>
    <t xml:space="preserve">Notification model and targeting</t>
  </si>
  <si>
    <t xml:space="preserve">notifications, notification_targets</t>
  </si>
  <si>
    <t xml:space="preserve">1. Title, body, icon, optional image and a tap action opening a screen, product, offer or link.
2. Targeting: one user, several users, a retailer group, a zone, a city, an activity type, or everyone (REQ-CM-022).
3. Read notifications are hidden from the counter but never deleted from the log (BR-17).</t>
  </si>
  <si>
    <t xml:space="preserve">☐  A targeted notification reaches exactly the intended audience, verified by count.
☐  Marking as read changes the counter and preserves the record.</t>
  </si>
  <si>
    <t xml:space="preserve">BE-T02</t>
  </si>
  <si>
    <t xml:space="preserve">BE4-NTF02</t>
  </si>
  <si>
    <t xml:space="preserve">Automatic event templates</t>
  </si>
  <si>
    <t xml:space="preserve">notification_templates</t>
  </si>
  <si>
    <t xml:space="preserve">1. Templates bound to system events: order confirmed, rep on the way, delivered, postponed, an awaited product back in stock, a return decision, a payment falling due, a new offer matching the activity.
2. Send only on a change that matters to the user, without flooding (REQ-CM-023).</t>
  </si>
  <si>
    <t xml:space="preserve">☐  Every state transition that concerns a user produces exactly one notification.
☐  No event produces a notification that requires no action and carries no information.</t>
  </si>
  <si>
    <t xml:space="preserve">BE4-NTF01, BE2-ORD04</t>
  </si>
  <si>
    <t xml:space="preserve">BE4-NTF03</t>
  </si>
  <si>
    <t xml:space="preserve">Channels, scheduling and delivery log</t>
  </si>
  <si>
    <t xml:space="preserve">delivery_log</t>
  </si>
  <si>
    <t xml:space="preserve">1. Three channels: in-app, push, and optionally WhatsApp for critical events.
2. Immediate or scheduled sending with quiet hours respected.
3. A delivery log per message: sent, delivered, read, failed.</t>
  </si>
  <si>
    <t xml:space="preserve">☐  A failed push is visible in the log and retried within policy.
☐  Quiet hours are honoured for non-critical messages.</t>
  </si>
  <si>
    <t xml:space="preserve">BE4-NTF02, BE-X01</t>
  </si>
  <si>
    <t xml:space="preserve">BE4-LOY01</t>
  </si>
  <si>
    <t xml:space="preserve">Point rules</t>
  </si>
  <si>
    <t xml:space="preserve">loyalty_rules, loyalty_points</t>
  </si>
  <si>
    <t xml:space="preserve">1. Retailer earning: purchase value, monthly continuity, on-time payment, rating a rep, trying a new product.
2. Rep earning: order count, on-time delivery rate, collection, new customers, retailer ratings.
3. Points carry an expiry date and every award is a ledger entry.</t>
  </si>
  <si>
    <t xml:space="preserve">☐  The points balance is recomputable from its ledger and always matches.
☐  A reversed order reverses its points.</t>
  </si>
  <si>
    <t xml:space="preserve">BE3-FIN02</t>
  </si>
  <si>
    <t xml:space="preserve">BE4-LOY02</t>
  </si>
  <si>
    <t xml:space="preserve">Tiers and rewards</t>
  </si>
  <si>
    <t xml:space="preserve">loyalty_tiers, rewards, redemptions</t>
  </si>
  <si>
    <t xml:space="preserve">1. Bronze, silver and gold tiers with bound privileges: extra discount, delivery priority, exclusive offers.
2. A reward catalog with redemption and a complete history.</t>
  </si>
  <si>
    <t xml:space="preserve">☐  A tier change applies its privileges automatically.
☐  A redemption cannot exceed the available balance under concurrency.</t>
  </si>
  <si>
    <t xml:space="preserve">BE4-RPT01</t>
  </si>
  <si>
    <t xml:space="preserve">Daily snapshots</t>
  </si>
  <si>
    <t xml:space="preserve">daily_snapshots</t>
  </si>
  <si>
    <t xml:space="preserve">1. A nightly job materialising the figures the dashboards read, so interactive screens never aggregate live.
2. Snapshots run on the reports queue and never contend with operational work.</t>
  </si>
  <si>
    <t xml:space="preserve">☐  A dashboard screen responds within the interactive budget at production volume.
☐  A snapshot failure is alerted and the previous snapshot is clearly dated.</t>
  </si>
  <si>
    <t xml:space="preserve">BE3-FIN01</t>
  </si>
  <si>
    <t xml:space="preserve">BE4-RPT02</t>
  </si>
  <si>
    <t xml:space="preserve">Channel dashboard figures</t>
  </si>
  <si>
    <t xml:space="preserve">1. The indicator set from DOC-01 §4.1 with a selectable period and comparison to the previous period.
2. Actionable alerts: overdue pending orders, items at reorder point, returns awaiting decision, reps over their cash cap, retailers over their credit limit, offers expiring within 48 hours, unassigned scheduled orders.
3. Every card and chart column is drillable to its filtered list.</t>
  </si>
  <si>
    <t xml:space="preserve">☐  No figure exists without a route to its underlying documents.
☐  The alert list is actionable, with a bulk action attached to each type.</t>
  </si>
  <si>
    <t xml:space="preserve">BE4-RPT03</t>
  </si>
  <si>
    <t xml:space="preserve">The nine report families</t>
  </si>
  <si>
    <t xml:space="preserve">1. Sales, products, retailers, reps, zones, inventory, finance, offers and operations.
2. Every report filters, sorts, exports to Excel and PDF, and prints.
3. Heavy reports are generated in the background and delivered by notification.</t>
  </si>
  <si>
    <t xml:space="preserve">☐  Any figure in any report traces back to its originating document (DOC-01 §7).
☐  No report blocks an HTTP request.</t>
  </si>
  <si>
    <t xml:space="preserve">BE4-RPT04</t>
  </si>
  <si>
    <t xml:space="preserve">Platform-level reporting</t>
  </si>
  <si>
    <t xml:space="preserve">report_jobs, report_exports</t>
  </si>
  <si>
    <t xml:space="preserve">1. Cross-channel platform figures for the super admin, respecting isolation: aggregates only, never another channel detail.
2. Background export with job status.</t>
  </si>
  <si>
    <t xml:space="preserve">☐  A platform aggregate never exposes a single channel commercial detail to another channel.</t>
  </si>
  <si>
    <t xml:space="preserve">BE4-RPT01, BE-T16</t>
  </si>
  <si>
    <t xml:space="preserve">BE4-SUP01</t>
  </si>
  <si>
    <t xml:space="preserve">Support</t>
  </si>
  <si>
    <t xml:space="preserve">Tickets and unified search</t>
  </si>
  <si>
    <t xml:space="preserve">tickets, ticket_events</t>
  </si>
  <si>
    <t xml:space="preserve">1. A ticket with a subject, a linked entity, a state machine and an event log.
2. Unified search across retailers, reps, channels, orders and invoices from one field.</t>
  </si>
  <si>
    <t xml:space="preserve">☐  A support agent finds any entity by number or phone in one search.
☐  Every ticket action is audited.</t>
  </si>
  <si>
    <t xml:space="preserve">BE-A16</t>
  </si>
  <si>
    <t xml:space="preserve">BE4-SUP02</t>
  </si>
  <si>
    <t xml:space="preserve">Impersonation with guardrails</t>
  </si>
  <si>
    <t xml:space="preserve">impersonation_grants</t>
  </si>
  <si>
    <t xml:space="preserve">1. Impersonation requires an explicit grant with a reason, a time limit and a second approver.
2. Every request made while impersonating is flagged in the audit log.
3. Write actions can be restricted while impersonating.</t>
  </si>
  <si>
    <t xml:space="preserve">☐  No impersonation exists without a grant and a reason.
☐  The audit log distinguishes an impersonated action from a genuine one.</t>
  </si>
  <si>
    <t xml:space="preserve">BE-C05, BE-C04</t>
  </si>
  <si>
    <t xml:space="preserve">BE4-SUP03</t>
  </si>
  <si>
    <t xml:space="preserve">System health view</t>
  </si>
  <si>
    <t xml:space="preserve">1. Queue depth, job failure rate, integration provider health and the last snapshot time.</t>
  </si>
  <si>
    <t xml:space="preserve">☐  A degraded provider is visible before users report it.</t>
  </si>
  <si>
    <t xml:space="preserve">BE-X05, BE-F07</t>
  </si>
  <si>
    <t xml:space="preserve">BE4-BIL01</t>
  </si>
  <si>
    <t xml:space="preserve">PlatformBilling</t>
  </si>
  <si>
    <t xml:space="preserve">Plans and subscriptions</t>
  </si>
  <si>
    <t xml:space="preserve">plans, subscriptions</t>
  </si>
  <si>
    <t xml:space="preserve">1. Plan definitions with limits and features that feed the channel limit and feature resolution.
2. Subscription lifecycle with trial, active, past due and cancelled states.
3. A plan change reuses the existing preview and apply path.</t>
  </si>
  <si>
    <t xml:space="preserve">☐  A plan limit change propagates to channel enforcement without a code change.
☐  A trial expiry moves the subscription automatically.</t>
  </si>
  <si>
    <t xml:space="preserve">BE-T12</t>
  </si>
  <si>
    <t xml:space="preserve">BE4-BIL02</t>
  </si>
  <si>
    <t xml:space="preserve">Platform invoices and dunning</t>
  </si>
  <si>
    <t xml:space="preserve">platform_invoices, dunning_events</t>
  </si>
  <si>
    <t xml:space="preserve">1. Generate platform invoices per billing cycle and record payment.
2. A dunning sequence on failure with an escalation to suspension, which freezes new orders only.</t>
  </si>
  <si>
    <t xml:space="preserve">☐  Suspension for non-payment does not disturb orders already in flight (BR-AD-14).</t>
  </si>
  <si>
    <t xml:space="preserve">BE4-BIL03</t>
  </si>
  <si>
    <t xml:space="preserve">Platform team management</t>
  </si>
  <si>
    <t xml:space="preserve">1. Full CRUD for platform staff with role assignment through the existing IAM paths.
2. Deactivation transfers open approvals rather than orphaning them.</t>
  </si>
  <si>
    <t xml:space="preserve">☐  A deactivated admin leaves no approval request without an approver.</t>
  </si>
  <si>
    <t xml:space="preserve">BE-A07</t>
  </si>
  <si>
    <t xml:space="preserve">BE4-HRD01</t>
  </si>
  <si>
    <t xml:space="preserve">Performance hardening</t>
  </si>
  <si>
    <t xml:space="preserve">1. Meet the DOC-01 §7 targets: under one second for daily operational screens, under three seconds for interactive reports.
2. Sustain a catalog of 100,000 items, 10,000 active retailers and 5,000 orders per day per channel without noticeable degradation.
3. Index review on every hot query path; eliminate every N+1 on list screens.</t>
  </si>
  <si>
    <t xml:space="preserve">☐  A k6 run at one thousand concurrent users on list and submission paths holds the budget.
☐  No list endpoint issues a per-row query.</t>
  </si>
  <si>
    <t xml:space="preserve">Highest</t>
  </si>
  <si>
    <t xml:space="preserve">BE4-HRD02</t>
  </si>
  <si>
    <t xml:space="preserve">Security hardening and penetration pass</t>
  </si>
  <si>
    <t xml:space="preserve">1. A deliberate attempt to reach another channel data across every endpoint, expected to fail.
2. Verification that the channel identity and the rep identity cannot be obtained early through any API path (AC-08).
3. File upload, rate limit, session and token handling review.
4. Encrypted daily off-server backup with a documented restore, and a recovery-time objective under four hours.</t>
  </si>
  <si>
    <t xml:space="preserve">☐  The isolation attempt fails on every endpoint without exception.
☐  A restore is executed and timed against the four-hour objective.</t>
  </si>
  <si>
    <t xml:space="preserve">BE-Q04, BE-T03</t>
  </si>
  <si>
    <t xml:space="preserve">BE4-HRD03</t>
  </si>
  <si>
    <t xml:space="preserve">Field acceptance criteria verification</t>
  </si>
  <si>
    <t xml:space="preserve">1. Verify AC-01 through AC-10 from DOC-06 §9.1 with real users, not in a meeting room.
2. Registration under sixty seconds, retailer order in three to four taps, rep order under thirty seconds, value understood in ten seconds.
3. Zero lost or duplicated operations after a full day offline with deliberate interruptions.
4. Wallet, statement and stock all reconcile exactly.</t>
  </si>
  <si>
    <t xml:space="preserve">☐  Every one of the ten criteria is measured and recorded with real participants.
☐  A failure on any criterion blocks the pilot rather than being noted for later.</t>
  </si>
  <si>
    <t xml:space="preserve">BE3-SYN03, BE3-FIN04</t>
  </si>
  <si>
    <t xml:space="preserve">BE4-HRD04</t>
  </si>
  <si>
    <t xml:space="preserve">Pilot launch</t>
  </si>
  <si>
    <t xml:space="preserve">1. One channel, a limited zone set, real retailers and real reps.
2. Launch condition: a complete catalog with current prices for the pilot zone (DOC-06 §10.2).
3. A daily observation log of every stumble, with a named owner per issue.</t>
  </si>
  <si>
    <t xml:space="preserve">☐  A complete cycle runs with real users and no financial discrepancy.
☐  Manual intervention falls to a minimum before the general release.</t>
  </si>
  <si>
    <t xml:space="preserve">BE4-HRD05</t>
  </si>
  <si>
    <t xml:space="preserve">General release readiness</t>
  </si>
  <si>
    <t xml:space="preserve">SP-18</t>
  </si>
  <si>
    <t xml:space="preserve">1. Store submissions with terms, privacy policy and support material in place.
2. Runbooks for operations, monitoring dashboards and an on-call rotation.
3. A documented rollback plan for the first weeks.</t>
  </si>
  <si>
    <t xml:space="preserve">☐  Every release-readiness criterion in DOC-02 §25 is met and signed off.</t>
  </si>
  <si>
    <t xml:space="preserve">FE4-RT01</t>
  </si>
  <si>
    <t xml:space="preserve">Frontend</t>
  </si>
  <si>
    <t xml:space="preserve">Retailer app</t>
  </si>
  <si>
    <t xml:space="preserve">Retailer favourites, rating and notifications</t>
  </si>
  <si>
    <t xml:space="preserve">1. Favourites with individual and bulk add to cart and an empty-state message.
2. Rep rating appearing automatically after delivery, five stars with quick tags, skippable.
3. Notification list newest first with mark all read and clear all.</t>
  </si>
  <si>
    <t xml:space="preserve">☐  A read notification leaves the counter but stays in the log (BR-17).
☐  The rating screen never blocks the flow.</t>
  </si>
  <si>
    <t xml:space="preserve">FE4-RT02</t>
  </si>
  <si>
    <t xml:space="preserve">Retailer growth features</t>
  </si>
  <si>
    <t xml:space="preserve">1. Points and rewards bar, algorithm sliders, price comparison, voice search.
2. These are phase-three features and must not slow the core order path.</t>
  </si>
  <si>
    <t xml:space="preserve">☐  Home load time does not regress against the phase-one measurement.</t>
  </si>
  <si>
    <t xml:space="preserve">BE4-CNT03, BE4-LOY02</t>
  </si>
  <si>
    <t xml:space="preserve">FE4-RP01</t>
  </si>
  <si>
    <t xml:space="preserve">Rep app</t>
  </si>
  <si>
    <t xml:space="preserve">Rep account, statistics and notifications</t>
  </si>
  <si>
    <t xml:space="preserve">1. Monthly statistics card with executed orders, new customers, fulfilment rate and points.
2. Settings and information lists, work-zone editing, sign out.
3. Notification list with the same rules as the retailer app.</t>
  </si>
  <si>
    <t xml:space="preserve">☐  Editing work zones takes effect after channel approval, not immediately.</t>
  </si>
  <si>
    <t xml:space="preserve">FE4-RP02</t>
  </si>
  <si>
    <t xml:space="preserve">Rep growth features</t>
  </si>
  <si>
    <t xml:space="preserve">1. Points and rewards, custom sliders, personal performance analytics.
2. Presented as enablement, never as surveillance, because a rep who feels watched will resist the app (DOC-05 §2.1).</t>
  </si>
  <si>
    <t xml:space="preserve">☐  The rep sees their own wallet, points and ratings before they see any monitoring figure.</t>
  </si>
  <si>
    <t xml:space="preserve">Low</t>
  </si>
  <si>
    <t xml:space="preserve">FE4-CH01</t>
  </si>
  <si>
    <t xml:space="preserve">Channel dashboard</t>
  </si>
  <si>
    <t xml:space="preserve">Content and marketing console</t>
  </si>
  <si>
    <t xml:space="preserve">1. Intro control, banner builder with placement, targeting, window and measurement.
2. Slider builder with source selection including algorithms and per-activity customisation.
3. Brand page composition.</t>
  </si>
  <si>
    <t xml:space="preserve">☐  A banner cannot be published without a placement and a window.
☐  Click-through rate is visible per banner.</t>
  </si>
  <si>
    <t xml:space="preserve">BE4-CNT02, BE4-CNT03</t>
  </si>
  <si>
    <t xml:space="preserve">FE4-CH02</t>
  </si>
  <si>
    <t xml:space="preserve">Notification and campaign console</t>
  </si>
  <si>
    <t xml:space="preserve">1. Compose, target, schedule and review the delivery log.
2. Automatic template management bound to system events.</t>
  </si>
  <si>
    <t xml:space="preserve">☐  An audience count is shown before sending, not after.</t>
  </si>
  <si>
    <t xml:space="preserve">FE4-CH03</t>
  </si>
  <si>
    <t xml:space="preserve">Reports console</t>
  </si>
  <si>
    <t xml:space="preserve">1. The nine report families with saved filters, export and print.
2. A heavy report runs in the background and arrives by notification.</t>
  </si>
  <si>
    <t xml:space="preserve">☐  Every figure drills down to its source document.
☐  No report freezes the page.</t>
  </si>
  <si>
    <t xml:space="preserve">FE4-CH04</t>
  </si>
  <si>
    <t xml:space="preserve">Loyalty console</t>
  </si>
  <si>
    <t xml:space="preserve">1. Point rules, tiers, reward catalog and redemption history.</t>
  </si>
  <si>
    <t xml:space="preserve">☐  A rule change is previewed against a sample before publishing.</t>
  </si>
  <si>
    <t xml:space="preserve">FE4-AD01</t>
  </si>
  <si>
    <t xml:space="preserve">Platform admin</t>
  </si>
  <si>
    <t xml:space="preserve">Platform operations dashboard</t>
  </si>
  <si>
    <t xml:space="preserve">1. The live platform view deferred from Layer 1: cross-channel aggregates, growth and health.
2. Explicitly out of scope in L1 and only now permitted, because the underlying figures finally exist.</t>
  </si>
  <si>
    <t xml:space="preserve">☐  No aggregate exposes one channel commercial detail to another.
☐  The screen reads snapshots, never live aggregation.</t>
  </si>
  <si>
    <t xml:space="preserve">FE4-AD02</t>
  </si>
  <si>
    <t xml:space="preserve">Support console and impersonation</t>
  </si>
  <si>
    <t xml:space="preserve">1. Ticket queue, unified search, the 360 view of any entity.
2. Impersonation behind a grant, a reason and a visible banner throughout the session.</t>
  </si>
  <si>
    <t xml:space="preserve">☐  The impersonation banner is impossible to dismiss while the session is active.</t>
  </si>
  <si>
    <t xml:space="preserve">BE4-SUP01, BE4-SUP02</t>
  </si>
  <si>
    <t xml:space="preserve">FE4-AD03</t>
  </si>
  <si>
    <t xml:space="preserve">Billing and platform team console</t>
  </si>
  <si>
    <t xml:space="preserve">1. Plan catalog, channel subscriptions, platform invoices and the dunning view.
2. Full platform team CRUD, deferred from Layer 1.</t>
  </si>
  <si>
    <t xml:space="preserve">☐  A suspension for non-payment shows exactly what it freezes and what it leaves running.</t>
  </si>
  <si>
    <t xml:space="preserve">BE4-BIL01, BE4-BIL03</t>
  </si>
  <si>
    <t xml:space="preserve">FE4-QA01</t>
  </si>
  <si>
    <t xml:space="preserve">Field testing programme</t>
  </si>
  <si>
    <t xml:space="preserve">1. Test in the street, in sunlight, while moving, one handed — desk testing does not surface these failures (DOC-06 §9.2).
2. Deliberate connectivity cuts in the middle of financial operations.
3. At least three devices including one low specification; a full working day with a real rep and an observer.
4. A retailer who has never used a similar app, with no prior explanation.
5. Battery and data consumption measured across a full working day.</t>
  </si>
  <si>
    <t xml:space="preserve">☐  Every one of the ten acceptance criteria is measured in the field, not in the office.
☐  The observation log names an owner for every stumble recorded.</t>
  </si>
  <si>
    <t xml:space="preserve">FE3-RT07</t>
  </si>
  <si>
    <t xml:space="preserve">Roadmap — every figure is a live formula over the Backlog sheet</t>
  </si>
  <si>
    <t xml:space="preserve">Points by sprint and side</t>
  </si>
  <si>
    <t xml:space="preserve">Total</t>
  </si>
  <si>
    <t xml:space="preserve">Issue count by sprint and side</t>
  </si>
  <si>
    <t xml:space="preserve">Points by sprint and unit</t>
  </si>
  <si>
    <t xml:space="preserve">Blocker</t>
  </si>
  <si>
    <t xml:space="preserve">Blocker title</t>
  </si>
  <si>
    <t xml:space="preserve">Blocker layer</t>
  </si>
  <si>
    <t xml:space="preserve">Blocker sprint</t>
  </si>
  <si>
    <t xml:space="preserve">Blocked</t>
  </si>
  <si>
    <t xml:space="preserve">Blocked title</t>
  </si>
  <si>
    <t xml:space="preserve">Blocked sprint</t>
  </si>
  <si>
    <t xml:space="preserve">From earlier layer</t>
  </si>
  <si>
    <t xml:space="preserve">Bulk role assignment</t>
  </si>
  <si>
    <t xml:space="preserve">L1</t>
  </si>
  <si>
    <t xml:space="preserve">SP-02</t>
  </si>
  <si>
    <t xml:space="preserve">Yes</t>
  </si>
  <si>
    <t xml:space="preserve">Two-level authorisation enforcement</t>
  </si>
  <si>
    <t xml:space="preserve">Error handler and HTTP status map</t>
  </si>
  <si>
    <t xml:space="preserve">SP-00</t>
  </si>
  <si>
    <t xml:space="preserve">BE-C04</t>
  </si>
  <si>
    <t xml:space="preserve">Immutable audit log</t>
  </si>
  <si>
    <t xml:space="preserve">BE-C05</t>
  </si>
  <si>
    <t xml:space="preserve">Generic dual-approval mechanism</t>
  </si>
  <si>
    <t xml:space="preserve">BE-F07</t>
  </si>
  <si>
    <t xml:space="preserve">Queues and Horizon</t>
  </si>
  <si>
    <t xml:space="preserve">BE-Q04</t>
  </si>
  <si>
    <t xml:space="preserve">Authorisation bypass test suite</t>
  </si>
  <si>
    <t xml:space="preserve">Tenant isolation: trait, scope and 404 policy</t>
  </si>
  <si>
    <t xml:space="preserve">SP-04</t>
  </si>
  <si>
    <t xml:space="preserve">BE-T03</t>
  </si>
  <si>
    <t xml:space="preserve">Tenant isolation test suite</t>
  </si>
  <si>
    <t xml:space="preserve">Create channel</t>
  </si>
  <si>
    <t xml:space="preserve">Limits, overrides and plan enforcement</t>
  </si>
  <si>
    <t xml:space="preserve">BE-T16</t>
  </si>
  <si>
    <t xml:space="preserve">Channel list and export</t>
  </si>
  <si>
    <t xml:space="preserve">BE-X01</t>
  </si>
  <si>
    <t xml:space="preserve">WhatsApp Business API adapter</t>
  </si>
  <si>
    <t xml:space="preserve">SP-01</t>
  </si>
  <si>
    <t xml:space="preserve">BE-X05</t>
  </si>
  <si>
    <t xml:space="preserve">Integration health and settings</t>
  </si>
  <si>
    <t xml:space="preserve">BE2-CAT07</t>
  </si>
  <si>
    <t xml:space="preserve">Retailer and rep catalog read API</t>
  </si>
  <si>
    <t xml:space="preserve">L2</t>
  </si>
  <si>
    <t xml:space="preserve">SP-06</t>
  </si>
  <si>
    <t xml:space="preserve">BE2-ORD04</t>
  </si>
  <si>
    <t xml:space="preserve">Sub-order state machine</t>
  </si>
  <si>
    <t xml:space="preserve">SP-08</t>
  </si>
  <si>
    <t xml:space="preserve">Invoices</t>
  </si>
  <si>
    <t xml:space="preserve">L3</t>
  </si>
  <si>
    <t xml:space="preserve">SP-13</t>
  </si>
  <si>
    <t xml:space="preserve">Payments with a unique receipt</t>
  </si>
  <si>
    <t xml:space="preserve">BE3-FIN04</t>
  </si>
  <si>
    <t xml:space="preserve">Rep wallet</t>
  </si>
  <si>
    <t xml:space="preserve">BE3-SYN03</t>
  </si>
  <si>
    <t xml:space="preserve">Conflict resolution</t>
  </si>
  <si>
    <t xml:space="preserve">SP-12</t>
  </si>
  <si>
    <t xml:space="preserve">L4</t>
  </si>
  <si>
    <t xml:space="preserve">No</t>
  </si>
  <si>
    <t xml:space="preserve">Offline engine in the rep app</t>
  </si>
  <si>
    <t xml:space="preserve">Rule</t>
  </si>
  <si>
    <t xml:space="preserve">Statement</t>
  </si>
  <si>
    <t xml:space="preserve">Owning module</t>
  </si>
  <si>
    <t xml:space="preserve">Enforcing issue</t>
  </si>
  <si>
    <t xml:space="preserve">In this layer</t>
  </si>
  <si>
    <t xml:space="preserve">BR-01</t>
  </si>
  <si>
    <t xml:space="preserve">A multi-channel order is split automatically at submission into independent sub-orders, each with its own number, invoice, route and rep.</t>
  </si>
  <si>
    <t xml:space="preserve">Ordering</t>
  </si>
  <si>
    <t xml:space="preserve">BE2-ORD03</t>
  </si>
  <si>
    <t xml:space="preserve">BR-02</t>
  </si>
  <si>
    <t xml:space="preserve">The supply channel name is not disclosed to the retailer before the sub-order is confirmed.</t>
  </si>
  <si>
    <t xml:space="preserve">Ordering / Core</t>
  </si>
  <si>
    <t xml:space="preserve">BE2-ORD08 · BE2-ORD02</t>
  </si>
  <si>
    <t xml:space="preserve">BR-03</t>
  </si>
  <si>
    <t xml:space="preserve">The rep name and phone are not disclosed before the order reaches on_the_way.</t>
  </si>
  <si>
    <t xml:space="preserve">Delivery</t>
  </si>
  <si>
    <t xml:space="preserve">BE2-ORD08 · FE3-RT01</t>
  </si>
  <si>
    <t xml:space="preserve">BR-04</t>
  </si>
  <si>
    <t xml:space="preserve">The price is frozen on the order at submission and is unaffected by any later price-list change.</t>
  </si>
  <si>
    <t xml:space="preserve">Pricing</t>
  </si>
  <si>
    <t xml:space="preserve">BE2-PRC05</t>
  </si>
  <si>
    <t xml:space="preserve">BR-05</t>
  </si>
  <si>
    <t xml:space="preserve">Stock reservation starts at confirmation; the actual deduction happens at handover to the rep.</t>
  </si>
  <si>
    <t xml:space="preserve">Inventory</t>
  </si>
  <si>
    <t xml:space="preserve">BE3-INV02</t>
  </si>
  <si>
    <t xml:space="preserve">BR-06</t>
  </si>
  <si>
    <t xml:space="preserve">Cancellation by the retailer is permitted in the pending state only.</t>
  </si>
  <si>
    <t xml:space="preserve">BR-07</t>
  </si>
  <si>
    <t xml:space="preserve">The cart is emptied automatically after a successful submission and held locally before it.</t>
  </si>
  <si>
    <t xml:space="preserve">BE2-ORD01 · FE2-RT11</t>
  </si>
  <si>
    <t xml:space="preserve">BR-08</t>
  </si>
  <si>
    <t xml:space="preserve">A composite offer is indivisible on add, remove and return.</t>
  </si>
  <si>
    <t xml:space="preserve">Promotion</t>
  </si>
  <si>
    <t xml:space="preserve">BE2-PRM04</t>
  </si>
  <si>
    <t xml:space="preserve">BR-09</t>
  </si>
  <si>
    <t xml:space="preserve">An invoice discount applies only to the portion of the multi-channel order belonging to that channel.</t>
  </si>
  <si>
    <t xml:space="preserve">Promotion / Finance</t>
  </si>
  <si>
    <t xml:space="preserve">BE2-PRM01</t>
  </si>
  <si>
    <t xml:space="preserve">BR-10</t>
  </si>
  <si>
    <t xml:space="preserve">A posted invoice cannot be edited; corrections are made by a linked credit or debit note.</t>
  </si>
  <si>
    <t xml:space="preserve">Finance</t>
  </si>
  <si>
    <t xml:space="preserve">BR-11</t>
  </si>
  <si>
    <t xml:space="preserve">Every payment is documented by a unique receipt number shared between the rep and retailer apps to prevent double entry.</t>
  </si>
  <si>
    <t xml:space="preserve">Finance / Core</t>
  </si>
  <si>
    <t xml:space="preserve">BR-12</t>
  </si>
  <si>
    <t xml:space="preserve">A rep may not exceed the discount cap or the cash-collection cap set for them.</t>
  </si>
  <si>
    <t xml:space="preserve">Delivery / Finance</t>
  </si>
  <si>
    <t xml:space="preserve">BE2-PRC04 · BE3-FIN04</t>
  </si>
  <si>
    <t xml:space="preserve">BR-13</t>
  </si>
  <si>
    <t xml:space="preserve">An accepted return re-enters stock according to the warehouse inspection, not the requester claim.</t>
  </si>
  <si>
    <t xml:space="preserve">Returns / Inventory</t>
  </si>
  <si>
    <t xml:space="preserve">BE3-RET02 · BE3-RET03</t>
  </si>
  <si>
    <t xml:space="preserve">BR-14</t>
  </si>
  <si>
    <t xml:space="preserve">The retailer sees a logical availability state and never the numeric stock quantity.</t>
  </si>
  <si>
    <t xml:space="preserve">Inventory / Catalog</t>
  </si>
  <si>
    <t xml:space="preserve">BE3-INV01</t>
  </si>
  <si>
    <t xml:space="preserve">BR-15</t>
  </si>
  <si>
    <t xml:space="preserve">Products, prices and offers are always filtered by three criteria together: zone, activity type and retailer group.</t>
  </si>
  <si>
    <t xml:space="preserve">Catalog / Pricing</t>
  </si>
  <si>
    <t xml:space="preserve">BE2-CAT03 · BE2-CAT07</t>
  </si>
  <si>
    <t xml:space="preserve">BR-16</t>
  </si>
  <si>
    <t xml:space="preserve">Every operation that changes financial or inventory data is written to the audit log and is never hard deleted.</t>
  </si>
  <si>
    <t xml:space="preserve">Core</t>
  </si>
  <si>
    <t xml:space="preserve">BE-C04 (L1)</t>
  </si>
  <si>
    <t xml:space="preserve">BR-17</t>
  </si>
  <si>
    <t xml:space="preserve">A read notification is hidden from the counter but is not deleted from the log.</t>
  </si>
  <si>
    <t xml:space="preserve">BR-18</t>
  </si>
  <si>
    <t xml:space="preserve">Date and time are presented in Arabic format in local Damascus time across every interface.</t>
  </si>
  <si>
    <t xml:space="preserve">BE-C01 (L1)</t>
  </si>
  <si>
    <t xml:space="preserve">BR-19</t>
  </si>
  <si>
    <t xml:space="preserve">An order may not be assigned to a rep who is off duty or outside their zones.</t>
  </si>
  <si>
    <t xml:space="preserve">Ordering / Delivery</t>
  </si>
  <si>
    <t xml:space="preserve">BE3-DLV01</t>
  </si>
  <si>
    <t xml:space="preserve">BR-20</t>
  </si>
  <si>
    <t xml:space="preserve">An offer that expires or runs out of quota is removed from unsent carts with a notice before confirmation.</t>
  </si>
  <si>
    <t xml:space="preserve">REQ-IN-01</t>
  </si>
  <si>
    <t xml:space="preserve">The receipt number is generated by one side and read by the other; two payments with the same number are never accepted, even across repeated sync.</t>
  </si>
  <si>
    <t xml:space="preserve">Core / Finance</t>
  </si>
  <si>
    <t xml:space="preserve">BE-C03 (L1) · BE3-FIN02</t>
  </si>
  <si>
    <t xml:space="preserve">REQ-IN-02</t>
  </si>
  <si>
    <t xml:space="preserve">Handover requires dual confirmation: stock is not deducted and the state does not move to on_the_way on one confirmation alone.</t>
  </si>
  <si>
    <t xml:space="preserve">Fulfillment</t>
  </si>
  <si>
    <t xml:space="preserve">BE3-FUL04</t>
  </si>
  <si>
    <t xml:space="preserve">REQ-IN-03</t>
  </si>
  <si>
    <t xml:space="preserve">An assigned order appears in the rep accept queue; rejection returns it to unassigned with a reason and an immediate channel alert.</t>
  </si>
  <si>
    <t xml:space="preserve">REQ-IN-04</t>
  </si>
  <si>
    <t xml:space="preserve">A return may be raised by either app, decided only by the channel, and its physical condition is determined by the warehouse.</t>
  </si>
  <si>
    <t xml:space="preserve">Returns</t>
  </si>
  <si>
    <t xml:space="preserve">BE3-RET01 · FE3-CH05</t>
  </si>
  <si>
    <t xml:space="preserve">REQ-IN-05</t>
  </si>
  <si>
    <t xml:space="preserve">Both parties see the same delivery line list and any quantity edit changes the invoice amount for both.</t>
  </si>
  <si>
    <t xml:space="preserve">BE3-DLV03</t>
  </si>
  <si>
    <t xml:space="preserve">REQ-IN-06</t>
  </si>
  <si>
    <t xml:space="preserve">Channel and rep identity are withheld at the data layer, not at the presentation layer.</t>
  </si>
  <si>
    <t xml:space="preserve">Core / Tenancy</t>
  </si>
  <si>
    <t xml:space="preserve">BE-T02 (L1) · BE2-ORD08</t>
  </si>
  <si>
    <t xml:space="preserve">REQ-IN-07</t>
  </si>
  <si>
    <t xml:space="preserve">Pricing is computed on the server only; no local pricing logic is permitted beyond a clearly marked temporary estimate.</t>
  </si>
  <si>
    <t xml:space="preserve">BE2-PRC03</t>
  </si>
  <si>
    <t xml:space="preserve">REQ-IN-08</t>
  </si>
  <si>
    <t xml:space="preserve">The multi-channel split happens on the server at submission; the retailer sees one order and each channel sees only its part.</t>
  </si>
  <si>
    <t xml:space="preserve">Code</t>
  </si>
  <si>
    <t xml:space="preserve">Criterion</t>
  </si>
  <si>
    <t xml:space="preserve">How it is measured</t>
  </si>
  <si>
    <t xml:space="preserve">Satisfied by</t>
  </si>
  <si>
    <t xml:space="preserve">AC-01</t>
  </si>
  <si>
    <t xml:space="preserve">A new user completes registration in under sixty seconds.</t>
  </si>
  <si>
    <t xml:space="preserve">Timed with five real users who have never seen the app.</t>
  </si>
  <si>
    <t xml:space="preserve">RT-18 · RP-10 (L1) · BE4-HRD03</t>
  </si>
  <si>
    <t xml:space="preserve">AC-02</t>
  </si>
  <si>
    <t xml:space="preserve">A retailer submits an order in three to four taps.</t>
  </si>
  <si>
    <t xml:space="preserve">Tap count from home to the success screen.</t>
  </si>
  <si>
    <t xml:space="preserve">FE2-RT03 · FE2-RT11 · BE4-HRD03</t>
  </si>
  <si>
    <t xml:space="preserve">AC-03</t>
  </si>
  <si>
    <t xml:space="preserve">A rep captures an order in under thirty seconds.</t>
  </si>
  <si>
    <t xml:space="preserve">Timed in the field with real reps inside real shops.</t>
  </si>
  <si>
    <t xml:space="preserve">FE3-RP02 · FE4-QA01</t>
  </si>
  <si>
    <t xml:space="preserve">AC-04</t>
  </si>
  <si>
    <t xml:space="preserve">Value is understood within ten seconds.</t>
  </si>
  <si>
    <t xml:space="preserve">Ask a retailer what they understood from this screen.</t>
  </si>
  <si>
    <t xml:space="preserve">FE2-RT01 · FE4-QA01</t>
  </si>
  <si>
    <t xml:space="preserve">AC-05</t>
  </si>
  <si>
    <t xml:space="preserve">Zero lost or duplicated operations after sync.</t>
  </si>
  <si>
    <t xml:space="preserve">A full working day offline with deliberate interruptions and resends.</t>
  </si>
  <si>
    <t xml:space="preserve">BE3-SYN01 · BE3-SYN03 · FE3-RT06 · FE3-RT07</t>
  </si>
  <si>
    <t xml:space="preserve">AC-06</t>
  </si>
  <si>
    <t xml:space="preserve">The rep wallet equals collections minus settlements at any instant.</t>
  </si>
  <si>
    <t xml:space="preserve">Reconciliation against the wallet ledger.</t>
  </si>
  <si>
    <t xml:space="preserve">BE3-FIN04 · FE3-RP10</t>
  </si>
  <si>
    <t xml:space="preserve">AC-07</t>
  </si>
  <si>
    <t xml:space="preserve">The retailer statement equals invoices minus payments minus returns.</t>
  </si>
  <si>
    <t xml:space="preserve">Reconciliation against the finance ledger.</t>
  </si>
  <si>
    <t xml:space="preserve">BE3-FIN03 · FE3-RT05</t>
  </si>
  <si>
    <t xml:space="preserve">AC-08</t>
  </si>
  <si>
    <t xml:space="preserve">The channel identity cannot be revealed before confirmation, nor the rep before departure.</t>
  </si>
  <si>
    <t xml:space="preserve">Inspect the API responses directly, not the UI.</t>
  </si>
  <si>
    <t xml:space="preserve">BE2-ORD08 · BE4-HRD02</t>
  </si>
  <si>
    <t xml:space="preserve">AC-09</t>
  </si>
  <si>
    <t xml:space="preserve">Conditional offers compute correctly.</t>
  </si>
  <si>
    <t xml:space="preserve">Every offer type tested in the cart and on the final invoice.</t>
  </si>
  <si>
    <t xml:space="preserve">BE2-PRM03 · FE2-CH06</t>
  </si>
  <si>
    <t xml:space="preserve">AC-10</t>
  </si>
  <si>
    <t xml:space="preserve">Acceptable performance on a weak device.</t>
  </si>
  <si>
    <t xml:space="preserve">Startup and home load on 2GB RAM over 3G.</t>
  </si>
  <si>
    <t xml:space="preserve">BE2-CAT05 · BE4-HRD01 · FE4-QA01</t>
  </si>
  <si>
    <t xml:space="preserve">Module</t>
  </si>
  <si>
    <t xml:space="preserve">Table</t>
  </si>
  <si>
    <t xml:space="preserve">Created by issue</t>
  </si>
  <si>
    <t xml:space="preserve">intros</t>
  </si>
  <si>
    <t xml:space="preserve">legal_pages</t>
  </si>
  <si>
    <t xml:space="preserve">slider_items</t>
  </si>
  <si>
    <t xml:space="preserve">sliders</t>
  </si>
  <si>
    <t xml:space="preserve">loyalty_points</t>
  </si>
  <si>
    <t xml:space="preserve">loyalty_rules</t>
  </si>
  <si>
    <t xml:space="preserve">loyalty_tiers</t>
  </si>
  <si>
    <t xml:space="preserve">redemptions</t>
  </si>
  <si>
    <t xml:space="preserve">rewards</t>
  </si>
  <si>
    <t xml:space="preserve">notification_targets</t>
  </si>
  <si>
    <t xml:space="preserve">notifications</t>
  </si>
  <si>
    <t xml:space="preserve">dunning_events</t>
  </si>
  <si>
    <t xml:space="preserve">plans</t>
  </si>
  <si>
    <t xml:space="preserve">platform_invoices</t>
  </si>
  <si>
    <t xml:space="preserve">subscriptions</t>
  </si>
  <si>
    <t xml:space="preserve">report_exports</t>
  </si>
  <si>
    <t xml:space="preserve">report_jobs</t>
  </si>
  <si>
    <t xml:space="preserve">ticket_events</t>
  </si>
  <si>
    <t xml:space="preserve">tickets</t>
  </si>
  <si>
    <t xml:space="preserve">Event</t>
  </si>
  <si>
    <t xml:space="preserve">Emitted by</t>
  </si>
  <si>
    <t xml:space="preserve">Listened to by</t>
  </si>
  <si>
    <t xml:space="preserve">Effect</t>
  </si>
  <si>
    <t xml:space="preserve">Delivered in</t>
  </si>
  <si>
    <t xml:space="preserve">Issue</t>
  </si>
  <si>
    <t xml:space="preserve">ChannelStatusChanged</t>
  </si>
  <si>
    <t xml:space="preserve">Tenancy</t>
  </si>
  <si>
    <t xml:space="preserve">Ordering, Notification, Reporting</t>
  </si>
  <si>
    <t xml:space="preserve">Freezes new orders only (BR-AD-14)</t>
  </si>
  <si>
    <t xml:space="preserve">BE-T01 (L1)</t>
  </si>
  <si>
    <t xml:space="preserve">ReferenceDisabled</t>
  </si>
  <si>
    <t xml:space="preserve">Reference</t>
  </si>
  <si>
    <t xml:space="preserve">Catalog, Tenancy, Ordering</t>
  </si>
  <si>
    <t xml:space="preserve">Blocks new use without touching existing records</t>
  </si>
  <si>
    <t xml:space="preserve">BE-R01 (L1)</t>
  </si>
  <si>
    <t xml:space="preserve">OrderSubmitted</t>
  </si>
  <si>
    <t xml:space="preserve">Inventory, Notification, Reporting</t>
  </si>
  <si>
    <t xml:space="preserve">No reservation yet — channel notification only</t>
  </si>
  <si>
    <t xml:space="preserve">Layer 2</t>
  </si>
  <si>
    <t xml:space="preserve">SubOrderConfirmed</t>
  </si>
  <si>
    <t xml:space="preserve">Inventory, Fulfillment, Notification</t>
  </si>
  <si>
    <t xml:space="preserve">Reserve stock and create the picking list (BR-05)</t>
  </si>
  <si>
    <t xml:space="preserve">BE2-ORD06</t>
  </si>
  <si>
    <t xml:space="preserve">HandoverCompleted</t>
  </si>
  <si>
    <t xml:space="preserve">Inventory, Ordering, Notification</t>
  </si>
  <si>
    <t xml:space="preserve">Actual stock deduction and the on_the_way state</t>
  </si>
  <si>
    <t xml:space="preserve">Layer 3</t>
  </si>
  <si>
    <t xml:space="preserve">DeliveryCompleted</t>
  </si>
  <si>
    <t xml:space="preserve">Finance, Loyalty, Notification</t>
  </si>
  <si>
    <t xml:space="preserve">Generate the invoice, create the receivable, award points</t>
  </si>
  <si>
    <t xml:space="preserve">PaymentRecorded</t>
  </si>
  <si>
    <t xml:space="preserve">Finance/Wallet, Notification, Reporting</t>
  </si>
  <si>
    <t xml:space="preserve">Increase the rep wallet and reduce the retailer receivable</t>
  </si>
  <si>
    <t xml:space="preserve">ReturnApproved</t>
  </si>
  <si>
    <t xml:space="preserve">Finance, Inventory</t>
  </si>
  <si>
    <t xml:space="preserve">Credit note plus stock return according to condition</t>
  </si>
  <si>
    <t xml:space="preserve">BE3-RET02</t>
  </si>
  <si>
    <t xml:space="preserve">PriceListChanged</t>
  </si>
  <si>
    <t xml:space="preserve">Sync, Reporting</t>
  </si>
  <si>
    <t xml:space="preserve">Marks data for differential sync; never touches a live order</t>
  </si>
  <si>
    <t xml:space="preserve">BE2-PRC01</t>
  </si>
  <si>
    <t xml:space="preserve">#</t>
  </si>
  <si>
    <t xml:space="preserve">Risk</t>
  </si>
  <si>
    <t xml:space="preserve">Impact</t>
  </si>
  <si>
    <t xml:space="preserve">Consequence</t>
  </si>
  <si>
    <t xml:space="preserve">Mitigation</t>
  </si>
  <si>
    <t xml:space="preserve">Owning issue</t>
  </si>
  <si>
    <t xml:space="preserve">Reps reject the app fearing it will replace them.</t>
  </si>
  <si>
    <t xml:space="preserve">Critical</t>
  </si>
  <si>
    <t xml:space="preserve">The whole system stops, because the rep is the only execution link.</t>
  </si>
  <si>
    <t xml:space="preserve">Involve real reps in design early and lead with what is theirs: wallet, points, ratings, less paperwork.</t>
  </si>
  <si>
    <t xml:space="preserve">FE3-RP10 · FE4-RP02</t>
  </si>
  <si>
    <t xml:space="preserve">Incomplete catalog or stale prices at launch.</t>
  </si>
  <si>
    <t xml:space="preserve">Retailer trust collapses on the first wrong price.</t>
  </si>
  <si>
    <t xml:space="preserve">Launch condition: a complete catalog with current prices for the pilot zone.</t>
  </si>
  <si>
    <t xml:space="preserve">The order capture screen grows until it breaks the thirty-second rule.</t>
  </si>
  <si>
    <t xml:space="preserve">The rep abandons the app and returns to paper.</t>
  </si>
  <si>
    <t xml:space="preserve">Measure the time every sprint, not at the end, and refuse any addition that increases it.</t>
  </si>
  <si>
    <t xml:space="preserve">High battery consumption on the rep device.</t>
  </si>
  <si>
    <t xml:space="preserve">The phone dies mid-round and the round is lost.</t>
  </si>
  <si>
    <t xml:space="preserve">Reduce location pings while stationary, batch uploads, measure consumption in field testing.</t>
  </si>
  <si>
    <t xml:space="preserve">BE3-DLV04 · FE4-QA01</t>
  </si>
  <si>
    <t xml:space="preserve">Reporting aggregation slows the operational database.</t>
  </si>
  <si>
    <t xml:space="preserve">Daily screens degrade because someone opened a report.</t>
  </si>
  <si>
    <t xml:space="preserve">Nightly snapshots on the reports queue; dashboards read snapshots, never live aggregates.</t>
  </si>
  <si>
    <t xml:space="preserve">Issues start before their endpoints exist in the API catalog.</t>
  </si>
  <si>
    <t xml:space="preserve">The exact failure Layer 1 was designed to prevent: screens built against invented contracts.</t>
  </si>
  <si>
    <t xml:space="preserve">The Contract column stays Proposed until the catalog is published; no issue is pulled while it reads Proposed.</t>
  </si>
  <si>
    <t xml:space="preserve">Every issue in this workbook</t>
  </si>
  <si>
    <t xml:space="preserve">Issue ID</t>
  </si>
  <si>
    <t xml:space="preserve">Issue Key</t>
  </si>
  <si>
    <t xml:space="preserve">Issue Type</t>
  </si>
  <si>
    <t xml:space="preserve">Summary</t>
  </si>
  <si>
    <t xml:space="preserve">Description</t>
  </si>
  <si>
    <t xml:space="preserve">Component/s</t>
  </si>
  <si>
    <t xml:space="preserve">Story Points</t>
  </si>
  <si>
    <t xml:space="preserve">Epic Name</t>
  </si>
  <si>
    <t xml:space="preserve">Epic Link</t>
  </si>
  <si>
    <t xml:space="preserve">Fix Version/s</t>
  </si>
  <si>
    <t xml:space="preserve">Labels</t>
  </si>
  <si>
    <t xml:space="preserve">Blocked By</t>
  </si>
  <si>
    <t xml:space="preserve">EP-L4-CNT — Content and marketing</t>
  </si>
  <si>
    <t xml:space="preserve">*Layer:* L4
*Covers:* Intro, banners, dynamic sliders, algorithms, legal pages
*Volume:* 4 issues / 19 points</t>
  </si>
  <si>
    <t xml:space="preserve">l4</t>
  </si>
  <si>
    <t xml:space="preserve">l4 epic</t>
  </si>
  <si>
    <t xml:space="preserve">EP-L4-NTF — Notifications and campaigns</t>
  </si>
  <si>
    <t xml:space="preserve">*Layer:* L4
*Covers:* Templates, targeting, scheduling, three channels, delivery log
*Volume:* 3 issues / 15 points</t>
  </si>
  <si>
    <t xml:space="preserve">EP-L4-LOY — Loyalty</t>
  </si>
  <si>
    <t xml:space="preserve">*Layer:* L4
*Covers:* Point rules, tiers, rewards, redemption
*Volume:* 2 issues / 10 points</t>
  </si>
  <si>
    <t xml:space="preserve">EP-L4-RPT — Reporting</t>
  </si>
  <si>
    <t xml:space="preserve">*Layer:* L4
*Covers:* Daily snapshots, dashboards, the nine report families, background export
*Volume:* 4 issues / 26 points</t>
  </si>
  <si>
    <t xml:space="preserve">EP-L4-SUP — Support and platform ops</t>
  </si>
  <si>
    <t xml:space="preserve">*Layer:* L4
*Covers:* Tickets, unified search, 360 view, impersonation, system health
*Volume:* 3 issues / 13 points</t>
  </si>
  <si>
    <t xml:space="preserve">EP-L4-BIL — Platform billing</t>
  </si>
  <si>
    <t xml:space="preserve">*Layer:* L4
*Covers:* Plans, subscriptions, platform invoices, dunning
*Volume:* 3 issues / 18 points</t>
  </si>
  <si>
    <t xml:space="preserve">EP-L4-HRD — Hardening and launch</t>
  </si>
  <si>
    <t xml:space="preserve">*Layer:* L4
*Covers:* Performance, security, load, pilot, general release
*Volume:* 6 issues / 45 points</t>
  </si>
  <si>
    <t xml:space="preserve">EP-L4-FE — Layer 4 frontend</t>
  </si>
  <si>
    <t xml:space="preserve">*Layer:* L4
*Covers:* Growth screens across the five products
*Volume:* 11 issues / 60 points</t>
  </si>
  <si>
    <t xml:space="preserve">Story</t>
  </si>
  <si>
    <t xml:space="preserve">BE4-CNT01 — Intro and legal pages</t>
  </si>
  <si>
    <t xml:space="preserve">*Side:* Backend    *Unit:* Content    *Sprint:* SP-14
*Contract status:* Proposed — endpoints must be fixed in the API catalog before this issue is pulled.
*Tables:* intros, legal_pages
h3. Requirements
# Control the opening screen of both apps: enable, welcome text, logo, image or video, display duration.
# Target a different intro per activity type or per zone.
# Versioned terms and privacy policy with an acceptance record per user, required for store approval (NEED-C-08).
h3. Acceptance criteria
* (/) A terms change requires re-acceptance and the acceptance is recorded per version.
* (/) Disabling the intro takes effect without an app release.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</si>
  <si>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backend, sp-14</t>
  </si>
  <si>
    <t xml:space="preserve">BE4-CNT02 — Banners</t>
  </si>
  <si>
    <t xml:space="preserve">*Side:* Backend    *Unit:* Content    *Sprint:* SP-14
*Contract status:* Proposed — endpoints must be fixed in the API catalog before this issue is pulled.
*Tables:* banners
h3. Requirements
# Media type image, video or GIF; link internal, external or none.
# Placements: home, root and sub categories, brand pages, offers page, product page.
# Targeting by activity, zone, retailer group and app; a scheduled date window; order and random weight.
# Measurement: impressions, clicks and click-through rate.
h3. Acceptance criteria
* (/) A banner outside its window is never served.
* (/) Impression and click counts are server side and auditable.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</si>
  <si>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9</t>
  </si>
  <si>
    <t xml:space="preserve">BE4-CNT03 — Dynamic sliders and algorithms</t>
  </si>
  <si>
    <t xml:space="preserve">*Side:* Backend    *Unit:* Content    *Sprint:* SP-14
*Contract status:* Proposed — endpoints must be fixed in the API catalog before this issue is pulled.
*Tables:* sliders, slider_items
h3. Requirements
# Unlimited sliders with a name, order and placement.
# Sources: manual selection, brand, category, offer set, or an algorithm.
# Algorithms: newly arrived, best selling, most ordered by this retailer, suggested for you, similar products, same brand, also bought.
# The same engine serves the rep app with its own sliders.
h3. Acceptance criteria
* (/) An algorithm slider is personalised per retailer and returns within the list budget.
* (/) A slider with no eligible items is omitted rather than rendered empty.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</si>
  <si>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10</t>
  </si>
  <si>
    <t xml:space="preserve">BE4-CNT04 — App version gating</t>
  </si>
  <si>
    <t xml:space="preserve">*Side:* Backend    *Unit:* Content    *Sprint:* SP-14
*Contract status:* Proposed — endpoints must be fixed in the API catalog before this issue is pulled.
*Tables:* app_versions
h3. Requirements
# A minimum supported version per client; older builds receive 426 upgrade_required.
# A soft-update notice above the minimum.
h3. Acceptance criteria
* (/) A build below the minimum cannot call any write endpoint.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</si>
  <si>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BE4-NTF01 — Notification model and targeting</t>
  </si>
  <si>
    <t xml:space="preserve">*Side:* Backend    *Unit:* Notification    *Sprint:* SP-14
*Contract status:* Proposed — endpoints must be fixed in the API catalog before this issue is pulled.
*Tables:* notifications, notification_targets
h3. Requirements
# Title, body, icon, optional image and a tap action opening a screen, product, offer or link.
# Targeting: one user, several users, a retailer group, a zone, a city, an activity type, or everyone (REQ-CM-022).
# Read notifications are hidden from the counter but never deleted from the log (BR-17).
h3. Acceptance criteria
* (/) A targeted notification reaches exactly the intended audience, verified by count.
* (/) Marking as read changes the counter and preserves the record.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</si>
  <si>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BE4-NTF02 — Automatic event templates</t>
  </si>
  <si>
    <t xml:space="preserve">*Side:* Backend    *Unit:* Notification    *Sprint:* SP-14
*Contract status:* Proposed — endpoints must be fixed in the API catalog before this issue is pulled.
*Tables:* notification_templates
h3. Requirements
# Templates bound to system events: order confirmed, rep on the way, delivered, postponed, an awaited product back in stock, a return decision, a payment falling due, a new offer matching the activity.
# Send only on a change that matters to the user, without flooding (REQ-CM-023).
h3. Acceptance criteria
* (/) Every state transition that concerns a user produces exactly one notification.
* (/) No event produces a notification that requires no action and carries no information.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</si>
  <si>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13</t>
  </si>
  <si>
    <t xml:space="preserve">BE4-NTF03 — Channels, scheduling and delivery log</t>
  </si>
  <si>
    <t xml:space="preserve">*Side:* Backend    *Unit:* Notification    *Sprint:* SP-14
*Contract status:* Proposed — endpoints must be fixed in the API catalog before this issue is pulled.
*Tables:* delivery_log
h3. Requirements
# Three channels: in-app, push, and optionally WhatsApp for critical events.
# Immediate or scheduled sending with quiet hours respected.
# A delivery log per message: sent, delivered, read, failed.
h3. Acceptance criteria
* (/) A failed push is visible in the log and retried within policy.
* (/) Quiet hours are honoured for non-critical messages.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</si>
  <si>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14</t>
  </si>
  <si>
    <t xml:space="preserve">BE4-LOY01 — Point rules</t>
  </si>
  <si>
    <t xml:space="preserve">*Side:* Backend    *Unit:* Loyalty    *Sprint:* SP-15
*Contract status:* Proposed — endpoints must be fixed in the API catalog before this issue is pulled.
*Tables:* loyalty_rules, loyalty_points
h3. Requirements
# Retailer earning: purchase value, monthly continuity, on-time payment, rating a rep, trying a new product.
# Rep earning: order count, on-time delivery rate, collection, new customers, retailer ratings.
# Points carry an expiry date and every award is a ledger entry.
h3. Acceptance criteria
* (/) The points balance is recomputable from its ledger and always matches.
* (/) A reversed order reverses its points.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</si>
  <si>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backend, sp-15</t>
  </si>
  <si>
    <t xml:space="preserve">BE4-LOY02 — Tiers and rewards</t>
  </si>
  <si>
    <t xml:space="preserve">*Side:* Backend    *Unit:* Loyalty    *Sprint:* SP-15
*Contract status:* Proposed — endpoints must be fixed in the API catalog before this issue is pulled.
*Tables:* loyalty_tiers, rewards, redemptions
h3. Requirements
# Bronze, silver and gold tiers with bound privileges: extra discount, delivery priority, exclusive offers.
# A reward catalog with redemption and a complete history.
h3. Acceptance criteria
* (/) A tier change applies its privileges automatically.
* (/) A redemption cannot exceed the available balance under concurrency.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</si>
  <si>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16</t>
  </si>
  <si>
    <t xml:space="preserve">BE4-RPT01 — Daily snapshots</t>
  </si>
  <si>
    <t xml:space="preserve">*Side:* Backend    *Unit:* Reporting    *Sprint:* SP-15
*Contract status:* Proposed — endpoints must be fixed in the API catalog before this issue is pulled.
*Tables:* daily_snapshots
h3. Requirements
# A nightly job materialising the figures the dashboards read, so interactive screens never aggregate live.
# Snapshots run on the reports queue and never contend with operational work.
h3. Acceptance criteria
* (/) A dashboard screen responds within the interactive budget at production volume.
* (/) A snapshot failure is alerted and the previous snapshot is clearly dated.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</si>
  <si>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BE4-RPT02 — Channel dashboard figures</t>
  </si>
  <si>
    <t xml:space="preserve">*Side:* Backend    *Unit:* Reporting    *Sprint:* SP-15
*Contract status:* Proposed — endpoints must be fixed in the API catalog before this issue is pulled.
h3. Requirements
# The indicator set from DOC-01 §4.1 with a selectable period and comparison to the previous period.
# Actionable alerts: overdue pending orders, items at reorder point, returns awaiting decision, reps over their cash cap, retailers over their credit limit, offers expiring within 48 hours, unassigned scheduled orders.
# Every card and chart column is drillable to its filtered list.
h3. Acceptance criteria
* (/) No figure exists without a route to its underlying documents.
* (/) The alert list is actionable, with a bulk action attached to each type.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</si>
  <si>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18</t>
  </si>
  <si>
    <t xml:space="preserve">BE4-RPT03 — The nine report families</t>
  </si>
  <si>
    <t xml:space="preserve">*Side:* Backend    *Unit:* Reporting    *Sprint:* SP-15
*Contract status:* Proposed — endpoints must be fixed in the API catalog before this issue is pulled.
h3. Requirements
# Sales, products, retailers, reps, zones, inventory, finance, offers and operations.
# Every report filters, sorts, exports to Excel and PDF, and prints.
# Heavy reports are generated in the background and delivered by notification.
h3. Acceptance criteria
* (/) Any figure in any report traces back to its originating document (DOC-01 §7).
* (/) No report blocks an HTTP request.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</si>
  <si>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BE4-RPT04 — Platform-level reporting</t>
  </si>
  <si>
    <t xml:space="preserve">*Side:* Backend    *Unit:* Reporting    *Sprint:* SP-16
*Contract status:* Proposed — endpoints must be fixed in the API catalog before this issue is pulled.
*Tables:* report_jobs, report_exports
h3. Requirements
# Cross-channel platform figures for the super admin, respecting isolation: aggregates only, never another channel detail.
# Background export with job status.
h3. Acceptance criteria
* (/) A platform aggregate never exposes a single channel commercial detail to another channel.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</si>
  <si>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backend, sp-16</t>
  </si>
  <si>
    <t xml:space="preserve">BE4-SUP01 — Tickets and unified search</t>
  </si>
  <si>
    <t xml:space="preserve">*Side:* Backend    *Unit:* Support    *Sprint:* SP-16
*Contract status:* Proposed — endpoints must be fixed in the API catalog before this issue is pulled.
*Tables:* tickets, ticket_events
h3. Requirements
# A ticket with a subject, a linked entity, a state machine and an event log.
# Unified search across retailers, reps, channels, orders and invoices from one field.
h3. Acceptance criteria
* (/) A support agent finds any entity by number or phone in one search.
* (/) Every ticket action is audited.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</si>
  <si>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BE4-SUP02 — Impersonation with guardrails</t>
  </si>
  <si>
    <t xml:space="preserve">*Side:* Backend    *Unit:* Support    *Sprint:* SP-16
*Contract status:* Proposed — endpoints must be fixed in the API catalog before this issue is pulled.
*Tables:* impersonation_grants
h3. Requirements
# Impersonation requires an explicit grant with a reason, a time limit and a second approver.
# Every request made while impersonating is flagged in the audit log.
# Write actions can be restricted while impersonating.
h3. Acceptance criteria
* (/) No impersonation exists without a grant and a reason.
* (/) The audit log distinguishes an impersonated action from a genuine one.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</si>
  <si>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BE4-SUP03 — System health view</t>
  </si>
  <si>
    <t xml:space="preserve">*Side:* Backend    *Unit:* Support    *Sprint:* SP-16
*Contract status:* Proposed — endpoints must be fixed in the API catalog before this issue is pulled.
h3. Requirements
# Queue depth, job failure rate, integration provider health and the last snapshot time.
h3. Acceptance criteria
* (/) A degraded provider is visible before users report it.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</si>
  <si>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BE4-BIL01 — Plans and subscriptions</t>
  </si>
  <si>
    <t xml:space="preserve">*Side:* Backend    *Unit:* PlatformBilling    *Sprint:* SP-17
*Contract status:* Proposed — endpoints must be fixed in the API catalog before this issue is pulled.
*Tables:* plans, subscriptions
h3. Requirements
# Plan definitions with limits and features that feed the channel limit and feature resolution.
# Subscription lifecycle with trial, active, past due and cancelled states.
# A plan change reuses the existing preview and apply path.
h3. Acceptance criteria
* (/) A plan limit change propagates to channel enforcement without a code change.
* (/) A trial expiry moves the subscription automatically.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</si>
  <si>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backend, sp-17</t>
  </si>
  <si>
    <t xml:space="preserve">BE4-BIL02 — Platform invoices and dunning</t>
  </si>
  <si>
    <t xml:space="preserve">*Side:* Backend    *Unit:* PlatformBilling    *Sprint:* SP-17
*Contract status:* Proposed — endpoints must be fixed in the API catalog before this issue is pulled.
*Tables:* platform_invoices, dunning_events
h3. Requirements
# Generate platform invoices per billing cycle and record payment.
# A dunning sequence on failure with an escalation to suspension, which freezes new orders only.
h3. Acceptance criteria
* (/) Suspension for non-payment does not disturb orders already in flight (BR-AD-14).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</si>
  <si>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BE4-BIL03 — Platform team management</t>
  </si>
  <si>
    <t xml:space="preserve">*Side:* Backend    *Unit:* PlatformBilling    *Sprint:* SP-17
*Contract status:* Proposed — endpoints must be fixed in the API catalog before this issue is pulled.
h3. Requirements
# Full CRUD for platform staff with role assignment through the existing IAM paths.
# Deactivation transfers open approvals rather than orphaning them.
h3. Acceptance criteria
* (/) A deactivated admin leaves no approval request without an approver.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</si>
  <si>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BE4-HRD01 — Performance hardening</t>
  </si>
  <si>
    <t xml:space="preserve">*Side:* Backend    *Unit:* —    *Sprint:* SP-16
*Contract status:* Proposed — endpoints must be fixed in the API catalog before this issue is pulled.
h3. Requirements
# Meet the DOC-01 §7 targets: under one second for daily operational screens, under three seconds for interactive reports.
# Sustain a catalog of 100,000 items, 10,000 active retailers and 5,000 orders per day per channel without noticeable degradation.
# Index review on every hot query path; eliminate every N+1 on list screens.
h3. Acceptance criteria
* (/) A k6 run at one thousand concurrent users on list and submission paths holds the budget.
* (/) No list endpoint issues a per-row query.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</si>
  <si>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platform</t>
  </si>
  <si>
    <t xml:space="preserve">BE4-HRD02 — Security hardening and penetration pass</t>
  </si>
  <si>
    <t xml:space="preserve">*Side:* Backend    *Unit:* —    *Sprint:* SP-16
*Contract status:* Proposed — endpoints must be fixed in the API catalog before this issue is pulled.
h3. Requirements
# A deliberate attempt to reach another channel data across every endpoint, expected to fail.
# Verification that the channel identity and the rep identity cannot be obtained early through any API path (AC-08).
# File upload, rate limit, session and token handling review.
# Encrypted daily off-server backup with a documented restore, and a recovery-time objective under four hours.
h3. Acceptance criteria
* (/) The isolation attempt fails on every endpoint without exception.
* (/) A restore is executed and timed against the four-hour objective.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</si>
  <si>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BE4-HRD03 — Field acceptance criteria verification</t>
  </si>
  <si>
    <t xml:space="preserve">*Side:* Backend    *Unit:* —    *Sprint:* SP-17
*Contract status:* Proposed — endpoints must be fixed in the API catalog before this issue is pulled.
h3. Requirements
# Verify AC-01 through AC-10 from DOC-06 §9.1 with real users, not in a meeting room.
# Registration under sixty seconds, retailer order in three to four taps, rep order under thirty seconds, value understood in ten seconds.
# Zero lost or duplicated operations after a full day offline with deliberate interruptions.
# Wallet, statement and stock all reconcile exactly.
h3. Acceptance criteria
* (/) Every one of the ten criteria is measured and recorded with real participants.
* (/) A failure on any criterion blocks the pilot rather than being noted for later.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</si>
  <si>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BE4-HRD04 — Pilot launch</t>
  </si>
  <si>
    <t xml:space="preserve">*Side:* Backend    *Unit:* —    *Sprint:* SP-17
*Contract status:* Proposed — endpoints must be fixed in the API catalog before this issue is pulled.
h3. Requirements
# One channel, a limited zone set, real retailers and real reps.
# Launch condition: a complete catalog with current prices for the pilot zone (DOC-06 §10.2).
# A daily observation log of every stumble, with a named owner per issue.
h3. Acceptance criteria
* (/) A complete cycle runs with real users and no financial discrepancy.
* (/) Manual intervention falls to a minimum before the general release.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</si>
  <si>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30</t>
  </si>
  <si>
    <t xml:space="preserve">BE4-HRD05 — General release readiness</t>
  </si>
  <si>
    <t xml:space="preserve">*Side:* Backend    *Unit:* —    *Sprint:* SP-18
*Contract status:* Proposed — endpoints must be fixed in the API catalog before this issue is pulled.
h3. Requirements
# Store submissions with terms, privacy policy and support material in place.
# Runbooks for operations, monitoring dashboards and an on-call rotation.
# A documented rollback plan for the first weeks.
h3. Acceptance criteria
* (/) Every release-readiness criterion in DOC-02 §25 is met and signed off.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</si>
  <si>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backend, sp-18</t>
  </si>
  <si>
    <t xml:space="preserve">31</t>
  </si>
  <si>
    <t xml:space="preserve">FE4-RT01 — Retailer favourites, rating and notifications</t>
  </si>
  <si>
    <t xml:space="preserve">*Side:* Frontend    *Unit:* Retailer app    *Sprint:* SP-14
*Contract status:* Proposed — endpoints must be fixed in the API catalog before this issue is pulled.
h3. Requirements
# Favourites with individual and bulk add to cart and an empty-state message.
# Rep rating appearing automatically after delivery, five stars with quick tags, skippable.
# Notification list newest first with mark all read and clear all.
h3. Acceptance criteria
* (/) A read notification leaves the counter but stays in the log (BR-17).
* (/) The rating screen never blocks the flow.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</si>
  <si>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frontend, sp-14</t>
  </si>
  <si>
    <t xml:space="preserve">FE4-RT02 — Retailer growth features</t>
  </si>
  <si>
    <t xml:space="preserve">*Side:* Frontend    *Unit:* Retailer app    *Sprint:* SP-15
*Contract status:* Proposed — endpoints must be fixed in the API catalog before this issue is pulled.
h3. Requirements
# Points and rewards bar, algorithm sliders, price comparison, voice search.
# These are phase-three features and must not slow the core order path.
h3. Acceptance criteria
* (/) Home load time does not regress against the phase-one measurement.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</si>
  <si>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frontend, sp-15</t>
  </si>
  <si>
    <t xml:space="preserve">11 17</t>
  </si>
  <si>
    <t xml:space="preserve">FE4-RP01 — Rep account, statistics and notifications</t>
  </si>
  <si>
    <t xml:space="preserve">*Side:* Frontend    *Unit:* Rep app    *Sprint:* SP-14
*Contract status:* Proposed — endpoints must be fixed in the API catalog before this issue is pulled.
h3. Requirements
# Monthly statistics card with executed orders, new customers, fulfilment rate and points.
# Settings and information lists, work-zone editing, sign out.
# Notification list with the same rules as the retailer app.
h3. Acceptance criteria
* (/) Editing work zones takes effect after channel approval, not immediately.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</si>
  <si>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FE4-RP02 — Rep growth features</t>
  </si>
  <si>
    <t xml:space="preserve">*Side:* Frontend    *Unit:* Rep app    *Sprint:* SP-15
*Contract status:* Proposed — endpoints must be fixed in the API catalog before this issue is pulled.
h3. Requirements
# Points and rewards, custom sliders, personal performance analytics.
# Presented as enablement, never as surveillance, because a rep who feels watched will resist the app (DOC-05 §2.1).
h3. Acceptance criteria
* (/) The rep sees their own wallet, points and ratings before they see any monitoring figure.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</si>
  <si>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FE4-CH01 — Content and marketing console</t>
  </si>
  <si>
    <t xml:space="preserve">*Side:* Frontend    *Unit:* Channel dashboard    *Sprint:* SP-14
*Contract status:* Proposed — endpoints must be fixed in the API catalog before this issue is pulled.
h3. Requirements
# Intro control, banner builder with placement, targeting, window and measurement.
# Slider builder with source selection including algorithms and per-activity customisation.
# Brand page composition.
h3. Acceptance criteria
* (/) A banner cannot be published without a placement and a window.
* (/) Click-through rate is visible per banner.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</si>
  <si>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10 11</t>
  </si>
  <si>
    <t xml:space="preserve">FE4-CH02 — Notification and campaign console</t>
  </si>
  <si>
    <t xml:space="preserve">*Side:* Frontend    *Unit:* Channel dashboard    *Sprint:* SP-14
*Contract status:* Proposed — endpoints must be fixed in the API catalog before this issue is pulled.
h3. Requirements
# Compose, target, schedule and review the delivery log.
# Automatic template management bound to system events.
h3. Acceptance criteria
* (/) An audience count is shown before sending, not after.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</si>
  <si>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15</t>
  </si>
  <si>
    <t xml:space="preserve">FE4-CH03 — Reports console</t>
  </si>
  <si>
    <t xml:space="preserve">*Side:* Frontend    *Unit:* Channel dashboard    *Sprint:* SP-15
*Contract status:* Proposed — endpoints must be fixed in the API catalog before this issue is pulled.
h3. Requirements
# The nine report families with saved filters, export and print.
# A heavy report runs in the background and arrives by notification.
h3. Acceptance criteria
* (/) Every figure drills down to its source document.
* (/) No report freezes the page.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</si>
  <si>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20</t>
  </si>
  <si>
    <t xml:space="preserve">FE4-CH04 — Loyalty console</t>
  </si>
  <si>
    <t xml:space="preserve">*Side:* Frontend    *Unit:* Channel dashboard    *Sprint:* SP-15
*Contract status:* Proposed — endpoints must be fixed in the API catalog before this issue is pulled.
h3. Requirements
# Point rules, tiers, reward catalog and redemption history.
h3. Acceptance criteria
* (/) A rule change is previewed against a sample before publishing.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</si>
  <si>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17</t>
  </si>
  <si>
    <t xml:space="preserve">FE4-AD01 — Platform operations dashboard</t>
  </si>
  <si>
    <t xml:space="preserve">*Side:* Frontend    *Unit:* Platform admin    *Sprint:* SP-16
*Contract status:* Proposed — endpoints must be fixed in the API catalog before this issue is pulled.
h3. Requirements
# The live platform view deferred from Layer 1: cross-channel aggregates, growth and health.
# Explicitly out of scope in L1 and only now permitted, because the underlying figures finally exist.
h3. Acceptance criteria
* (/) No aggregate exposes one channel commercial detail to another.
* (/) The screen reads snapshots, never live aggregation.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</si>
  <si>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frontend, sp-16</t>
  </si>
  <si>
    <t xml:space="preserve">21</t>
  </si>
  <si>
    <t xml:space="preserve">FE4-AD02 — Support console and impersonation</t>
  </si>
  <si>
    <t xml:space="preserve">*Side:* Frontend    *Unit:* Platform admin    *Sprint:* SP-16
*Contract status:* Proposed — endpoints must be fixed in the API catalog before this issue is pulled.
h3. Requirements
# Ticket queue, unified search, the 360 view of any entity.
# Impersonation behind a grant, a reason and a visible banner throughout the session.
h3. Acceptance criteria
* (/) The impersonation banner is impossible to dismiss while the session is active.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</si>
  <si>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22 23</t>
  </si>
  <si>
    <t xml:space="preserve">FE4-AD03 — Billing and platform team console</t>
  </si>
  <si>
    <t xml:space="preserve">*Side:* Frontend    *Unit:* Platform admin    *Sprint:* SP-17
*Contract status:* Proposed — endpoints must be fixed in the API catalog before this issue is pulled.
h3. Requirements
# Plan catalog, channel subscriptions, platform invoices and the dunning view.
# Full platform team CRUD, deferred from Layer 1.
h3. Acceptance criteria
* (/) A suspension for non-payment shows exactly what it freezes and what it leaves running.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</si>
  <si>
    <t xml:space="preserve">l4, frontend, sp-17</t>
  </si>
  <si>
    <t xml:space="preserve">25 27</t>
  </si>
  <si>
    <t xml:space="preserve">FE4-QA01 — Field testing programme</t>
  </si>
  <si>
    <t xml:space="preserve">*Side:* Frontend    *Unit:* —    *Sprint:* SP-17
*Contract status:* Proposed — endpoints must be fixed in the API catalog before this issue is pulled.
h3. Requirements
# Test in the street, in sunlight, while moving, one handed — desk testing does not surface these failures (DOC-06 §9.2).
# Deliberate connectivity cuts in the middle of financial operations.
# At least three devices including one low specification; a full working day with a real rep and an observer.
# A retailer who has never used a similar app, with no prior explanation.
# Battery and data consumption measured across a full working day.
h3. Acceptance criteria
* (/) Every one of the ten acceptance criteria is measured in the field, not in the office.
* (/) The observation log names an owner for every stumble recorded.
h3. Definition of done
* (/) Merged after peer review; Larastan level 6, Pint and Rector pass; Deptrac and the architecture suite pass.
* (/) Unit and feature tests green: 90%+ on engines and money paths, 75%+ on endpoints, permissions and isolation.
* (/) Every write carries X-Idempotency-Key unless it is on the documented exemption list.
* (/) Every channel endpoint has an isolation test proving another channel receives 404.
* (/) All amounts, limits and rates are integers; no float exists on any money path.
* (/) Every state transition goes through the lifecycle service and is logged with actor and reason.
* (/) Errors follow the unified envelope and the HTTP status map.
* (/) Mobile work functions correctly with the network disconnected and syncs without loss or duplication.
* (/) The OpenAPI document is regenerated and the typed client still builds.
* (/) Deployed to the test environment and accepted by the product owner.</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</si>
</sst>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0"/>
      <color rgb="FF595959"/>
      <name val="Arial"/>
      <family val="0"/>
      <charset val="1"/>
    </font>
    <font>
      <b val="true"/>
      <sz val="13"/>
      <color rgb="FF1F3864"/>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b val="true"/>
      <sz val="9"/>
      <color rgb="FF1F3864"/>
      <name val="Arial"/>
      <family val="0"/>
      <charset val="1"/>
    </font>
    <font>
      <sz val="9"/>
      <color rgb="FF000000"/>
      <name val="Arial"/>
      <family val="0"/>
      <charset val="1"/>
    </font>
    <font>
      <b val="true"/>
      <sz val="14"/>
      <color rgb="FF1F3864"/>
      <name val="Arial"/>
      <family val="0"/>
      <charset val="1"/>
    </font>
    <font>
      <b val="true"/>
      <sz val="12"/>
      <color rgb="FF1F3864"/>
      <name val="Arial"/>
      <family val="0"/>
      <charset val="1"/>
    </font>
    <font>
      <sz val="9"/>
      <name val="Arial"/>
      <family val="0"/>
      <charset val="1"/>
    </font>
  </fonts>
  <fills count="9">
    <fill>
      <patternFill patternType="none"/>
    </fill>
    <fill>
      <patternFill patternType="gray125"/>
    </fill>
    <fill>
      <patternFill patternType="solid">
        <fgColor rgb="FFFFFFFF"/>
        <bgColor rgb="FFF2F5FB"/>
      </patternFill>
    </fill>
    <fill>
      <patternFill patternType="solid">
        <fgColor rgb="FFF2F5FB"/>
        <bgColor rgb="FFFFFFFF"/>
      </patternFill>
    </fill>
    <fill>
      <patternFill patternType="solid">
        <fgColor rgb="FF1F3864"/>
        <bgColor rgb="FF333333"/>
      </patternFill>
    </fill>
    <fill>
      <patternFill patternType="solid">
        <fgColor rgb="FFFFF2CC"/>
        <bgColor rgb="FFFCE5CD"/>
      </patternFill>
    </fill>
    <fill>
      <patternFill patternType="solid">
        <fgColor rgb="FFFCE5CD"/>
        <bgColor rgb="FFFFF2CC"/>
      </patternFill>
    </fill>
    <fill>
      <patternFill patternType="solid">
        <fgColor rgb="FFF4CCCC"/>
        <bgColor rgb="FFFCE5CD"/>
      </patternFill>
    </fill>
    <fill>
      <patternFill patternType="solid">
        <fgColor rgb="FFE2EFDA"/>
        <bgColor rgb="FFF2F5FB"/>
      </patternFill>
    </fill>
  </fills>
  <borders count="2">
    <border diagonalUp="false" diagonalDown="false">
      <left/>
      <right/>
      <top/>
      <bottom/>
      <diagonal/>
    </border>
    <border diagonalUp="false" diagonalDown="false">
      <left style="thin">
        <color rgb="FFB4C0D8"/>
      </left>
      <right style="thin">
        <color rgb="FFB4C0D8"/>
      </right>
      <top style="thin">
        <color rgb="FFB4C0D8"/>
      </top>
      <bottom style="thin">
        <color rgb="FFB4C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5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F7B6C"/>
      <rgbColor rgb="FFB4C0D8"/>
      <rgbColor rgb="FF7F7F7F"/>
      <rgbColor rgb="FF9999FF"/>
      <rgbColor rgb="FF7030A0"/>
      <rgbColor rgb="FFFFF2CC"/>
      <rgbColor rgb="FFF2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5CD"/>
      <rgbColor rgb="FF99CCFF"/>
      <rgbColor rgb="FFFF99CC"/>
      <rgbColor rgb="FFCC99FF"/>
      <rgbColor rgb="FFF4CCCC"/>
      <rgbColor rgb="FF3366FF"/>
      <rgbColor rgb="FF33CCCC"/>
      <rgbColor rgb="FF99CC00"/>
      <rgbColor rgb="FFFFCC00"/>
      <rgbColor rgb="FFFF9900"/>
      <rgbColor rgb="FFC55A11"/>
      <rgbColor rgb="FF595959"/>
      <rgbColor rgb="FF969696"/>
      <rgbColor rgb="FF1F3864"/>
      <rgbColor rgb="FF339966"/>
      <rgbColor rgb="FF003300"/>
      <rgbColor rgb="FF333300"/>
      <rgbColor rgb="FF9C2A21"/>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B4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27.75" hidden="false" customHeight="true" outlineLevel="0" collapsed="false">
      <c r="A1" s="1" t="s">
        <v>0</v>
      </c>
    </row>
    <row r="2" customFormat="false" ht="25.5" hidden="false" customHeight="true" outlineLevel="0" collapsed="false">
      <c r="A2" s="2" t="s">
        <v>1</v>
      </c>
      <c r="B2" s="2"/>
    </row>
    <row r="4" customFormat="false" ht="16.15" hidden="false" customHeight="false" outlineLevel="0" collapsed="false">
      <c r="A4" s="3" t="s">
        <v>2</v>
      </c>
    </row>
    <row r="5" customFormat="false" ht="13.5" hidden="false" customHeight="true" outlineLevel="0" collapsed="false">
      <c r="A5" s="4" t="s">
        <v>3</v>
      </c>
      <c r="B5" s="5" t="s">
        <v>4</v>
      </c>
    </row>
    <row r="6" customFormat="false" ht="13.5" hidden="false" customHeight="true" outlineLevel="0" collapsed="false">
      <c r="A6" s="6" t="s">
        <v>5</v>
      </c>
      <c r="B6" s="7" t="s">
        <v>6</v>
      </c>
    </row>
    <row r="7" customFormat="false" ht="13.5" hidden="false" customHeight="true" outlineLevel="0" collapsed="false">
      <c r="A7" s="4" t="s">
        <v>7</v>
      </c>
      <c r="B7" s="5" t="s">
        <v>8</v>
      </c>
    </row>
    <row r="8" customFormat="false" ht="13.5" hidden="false" customHeight="true" outlineLevel="0" collapsed="false">
      <c r="A8" s="6" t="s">
        <v>9</v>
      </c>
      <c r="B8" s="7" t="s">
        <v>10</v>
      </c>
    </row>
    <row r="9" customFormat="false" ht="27.75" hidden="false" customHeight="true" outlineLevel="0" collapsed="false">
      <c r="A9" s="4" t="s">
        <v>11</v>
      </c>
      <c r="B9" s="5" t="s">
        <v>12</v>
      </c>
    </row>
    <row r="11" customFormat="false" ht="16.15" hidden="false" customHeight="false" outlineLevel="0" collapsed="false">
      <c r="A11" s="3" t="s">
        <v>13</v>
      </c>
    </row>
    <row r="12" customFormat="false" ht="13.5" hidden="false" customHeight="true" outlineLevel="0" collapsed="false">
      <c r="A12" s="4" t="s">
        <v>14</v>
      </c>
      <c r="B12" s="5" t="s">
        <v>15</v>
      </c>
    </row>
    <row r="13" customFormat="false" ht="13.5" hidden="false" customHeight="true" outlineLevel="0" collapsed="false">
      <c r="A13" s="6" t="s">
        <v>16</v>
      </c>
      <c r="B13" s="7" t="s">
        <v>17</v>
      </c>
    </row>
    <row r="14" customFormat="false" ht="13.5" hidden="false" customHeight="true" outlineLevel="0" collapsed="false">
      <c r="A14" s="4" t="s">
        <v>18</v>
      </c>
      <c r="B14" s="5" t="s">
        <v>19</v>
      </c>
    </row>
    <row r="15" customFormat="false" ht="13.5" hidden="false" customHeight="true" outlineLevel="0" collapsed="false">
      <c r="A15" s="6" t="s">
        <v>20</v>
      </c>
      <c r="B15" s="7" t="s">
        <v>21</v>
      </c>
    </row>
    <row r="16" customFormat="false" ht="13.5" hidden="false" customHeight="true" outlineLevel="0" collapsed="false">
      <c r="A16" s="4" t="s">
        <v>22</v>
      </c>
      <c r="B16" s="5" t="s">
        <v>23</v>
      </c>
    </row>
    <row r="17" customFormat="false" ht="13.5" hidden="false" customHeight="true" outlineLevel="0" collapsed="false">
      <c r="A17" s="6" t="s">
        <v>24</v>
      </c>
      <c r="B17" s="7" t="s">
        <v>25</v>
      </c>
    </row>
    <row r="18" customFormat="false" ht="13.5" hidden="false" customHeight="true" outlineLevel="0" collapsed="false">
      <c r="A18" s="4" t="s">
        <v>26</v>
      </c>
      <c r="B18" s="5" t="s">
        <v>27</v>
      </c>
    </row>
    <row r="19" customFormat="false" ht="13.5" hidden="false" customHeight="true" outlineLevel="0" collapsed="false">
      <c r="A19" s="6" t="s">
        <v>28</v>
      </c>
      <c r="B19" s="7" t="s">
        <v>29</v>
      </c>
    </row>
    <row r="20" customFormat="false" ht="13.5" hidden="false" customHeight="true" outlineLevel="0" collapsed="false">
      <c r="A20" s="4" t="s">
        <v>30</v>
      </c>
      <c r="B20" s="5" t="s">
        <v>31</v>
      </c>
    </row>
    <row r="21" customFormat="false" ht="13.5" hidden="false" customHeight="true" outlineLevel="0" collapsed="false">
      <c r="A21" s="6" t="s">
        <v>32</v>
      </c>
      <c r="B21" s="7" t="s">
        <v>33</v>
      </c>
    </row>
    <row r="23" customFormat="false" ht="16.15" hidden="false" customHeight="false" outlineLevel="0" collapsed="false">
      <c r="A23" s="3" t="s">
        <v>34</v>
      </c>
    </row>
    <row r="24" customFormat="false" ht="27.75" hidden="false" customHeight="true" outlineLevel="0" collapsed="false">
      <c r="A24" s="4" t="s">
        <v>35</v>
      </c>
      <c r="B24" s="5" t="s">
        <v>36</v>
      </c>
    </row>
    <row r="25" customFormat="false" ht="27.75" hidden="false" customHeight="true" outlineLevel="0" collapsed="false">
      <c r="A25" s="6" t="s">
        <v>37</v>
      </c>
      <c r="B25" s="7" t="s">
        <v>38</v>
      </c>
    </row>
    <row r="26" customFormat="false" ht="13.5" hidden="false" customHeight="true" outlineLevel="0" collapsed="false">
      <c r="A26" s="4" t="s">
        <v>39</v>
      </c>
      <c r="B26" s="5" t="s">
        <v>40</v>
      </c>
    </row>
    <row r="28" customFormat="false" ht="16.15" hidden="false" customHeight="false" outlineLevel="0" collapsed="false">
      <c r="A28" s="3" t="s">
        <v>41</v>
      </c>
    </row>
    <row r="29" customFormat="false" ht="13.5" hidden="false" customHeight="true" outlineLevel="0" collapsed="false">
      <c r="A29" s="4" t="s">
        <v>42</v>
      </c>
      <c r="B29" s="5" t="s">
        <v>43</v>
      </c>
    </row>
    <row r="30" customFormat="false" ht="13.5" hidden="false" customHeight="true" outlineLevel="0" collapsed="false">
      <c r="A30" s="6" t="s">
        <v>44</v>
      </c>
      <c r="B30" s="7" t="s">
        <v>45</v>
      </c>
    </row>
    <row r="31" customFormat="false" ht="13.5" hidden="false" customHeight="true" outlineLevel="0" collapsed="false">
      <c r="A31" s="4" t="s">
        <v>46</v>
      </c>
      <c r="B31" s="5" t="s">
        <v>47</v>
      </c>
    </row>
    <row r="32" customFormat="false" ht="13.5" hidden="false" customHeight="true" outlineLevel="0" collapsed="false">
      <c r="A32" s="6" t="s">
        <v>48</v>
      </c>
      <c r="B32" s="7" t="s">
        <v>49</v>
      </c>
    </row>
    <row r="33" customFormat="false" ht="13.5" hidden="false" customHeight="true" outlineLevel="0" collapsed="false">
      <c r="A33" s="4" t="s">
        <v>50</v>
      </c>
      <c r="B33" s="5" t="s">
        <v>51</v>
      </c>
    </row>
    <row r="34" customFormat="false" ht="13.5" hidden="false" customHeight="true" outlineLevel="0" collapsed="false">
      <c r="A34" s="6" t="s">
        <v>52</v>
      </c>
      <c r="B34" s="7" t="s">
        <v>53</v>
      </c>
    </row>
    <row r="35" customFormat="false" ht="13.5" hidden="false" customHeight="true" outlineLevel="0" collapsed="false">
      <c r="A35" s="4" t="s">
        <v>54</v>
      </c>
      <c r="B35" s="5" t="s">
        <v>55</v>
      </c>
    </row>
    <row r="36" customFormat="false" ht="13.5" hidden="false" customHeight="true" outlineLevel="0" collapsed="false">
      <c r="A36" s="6" t="s">
        <v>56</v>
      </c>
      <c r="B36" s="7" t="s">
        <v>57</v>
      </c>
    </row>
    <row r="37" customFormat="false" ht="13.5" hidden="false" customHeight="true" outlineLevel="0" collapsed="false">
      <c r="A37" s="4" t="s">
        <v>58</v>
      </c>
      <c r="B37" s="5" t="s">
        <v>59</v>
      </c>
    </row>
    <row r="38" customFormat="false" ht="13.5" hidden="false" customHeight="true" outlineLevel="0" collapsed="false">
      <c r="A38" s="6" t="s">
        <v>60</v>
      </c>
      <c r="B38" s="7" t="s">
        <v>61</v>
      </c>
    </row>
    <row r="40" customFormat="false" ht="16.15" hidden="false" customHeight="false" outlineLevel="0" collapsed="false">
      <c r="A40" s="3" t="s">
        <v>62</v>
      </c>
    </row>
    <row r="41" customFormat="false" ht="15" hidden="false" customHeight="false" outlineLevel="0" collapsed="false">
      <c r="A41" s="8" t="s">
        <v>63</v>
      </c>
      <c r="B41" s="9" t="n">
        <f aca="false">COUNTA(Backlog!A2:A37)</f>
        <v>36</v>
      </c>
    </row>
    <row r="42" customFormat="false" ht="15" hidden="false" customHeight="false" outlineLevel="0" collapsed="false">
      <c r="A42" s="8" t="s">
        <v>64</v>
      </c>
      <c r="B42" s="9" t="n">
        <f aca="false">SUM(Backlog!L2:L37)</f>
        <v>206</v>
      </c>
    </row>
    <row r="43" customFormat="false" ht="15" hidden="false" customHeight="false" outlineLevel="0" collapsed="false">
      <c r="A43" s="8" t="s">
        <v>65</v>
      </c>
      <c r="B43" s="9" t="n">
        <f aca="false">COUNTIF(Backlog!B2:B37,"Backend")</f>
        <v>24</v>
      </c>
    </row>
    <row r="44" customFormat="false" ht="15" hidden="false" customHeight="false" outlineLevel="0" collapsed="false">
      <c r="A44" s="8" t="s">
        <v>66</v>
      </c>
      <c r="B44" s="9" t="n">
        <f aca="false">COUNTIF(Backlog!B2:B37,"Frontend")</f>
        <v>12</v>
      </c>
    </row>
    <row r="45" customFormat="false" ht="15" hidden="false" customHeight="false" outlineLevel="0" collapsed="false">
      <c r="A45" s="8" t="s">
        <v>14</v>
      </c>
      <c r="B45" s="9" t="n">
        <f aca="false">COUNTA(Epics!A2:A60)</f>
        <v>8</v>
      </c>
    </row>
    <row r="46" customFormat="false" ht="15" hidden="false" customHeight="false" outlineLevel="0" collapsed="false">
      <c r="A46" s="8" t="s">
        <v>67</v>
      </c>
      <c r="B46" s="9" t="s">
        <v>68</v>
      </c>
    </row>
    <row r="47" customFormat="false" ht="15" hidden="false" customHeight="false" outlineLevel="0" collapsed="false">
      <c r="A47" s="8" t="s">
        <v>69</v>
      </c>
      <c r="B47" s="9" t="s">
        <v>70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2"/>
    <col collapsed="false" customWidth="true" hidden="false" outlineLevel="0" max="3" min="3" style="0" width="62"/>
    <col collapsed="false" customWidth="true" hidden="false" outlineLevel="0" max="5" min="4" style="0" width="8"/>
    <col collapsed="false" customWidth="true" hidden="false" outlineLevel="0" max="6" min="6" style="0" width="24"/>
  </cols>
  <sheetData>
    <row r="1" customFormat="false" ht="30" hidden="false" customHeight="true" outlineLevel="0" collapsed="false">
      <c r="A1" s="10" t="s">
        <v>71</v>
      </c>
      <c r="B1" s="10" t="s">
        <v>72</v>
      </c>
      <c r="C1" s="10" t="s">
        <v>73</v>
      </c>
      <c r="D1" s="10" t="s">
        <v>74</v>
      </c>
      <c r="E1" s="10" t="s">
        <v>75</v>
      </c>
      <c r="F1" s="10" t="s">
        <v>5</v>
      </c>
    </row>
    <row r="2" customFormat="false" ht="17.25" hidden="false" customHeight="true" outlineLevel="0" collapsed="false">
      <c r="A2" s="11" t="s">
        <v>76</v>
      </c>
      <c r="B2" s="12" t="s">
        <v>77</v>
      </c>
      <c r="C2" s="12" t="s">
        <v>78</v>
      </c>
      <c r="D2" s="13" t="n">
        <v>4</v>
      </c>
      <c r="E2" s="13" t="n">
        <v>19</v>
      </c>
      <c r="F2" s="12" t="s">
        <v>79</v>
      </c>
    </row>
    <row r="3" customFormat="false" ht="28.5" hidden="false" customHeight="true" outlineLevel="0" collapsed="false">
      <c r="A3" s="14" t="s">
        <v>80</v>
      </c>
      <c r="B3" s="15" t="s">
        <v>81</v>
      </c>
      <c r="C3" s="15" t="s">
        <v>82</v>
      </c>
      <c r="D3" s="16" t="n">
        <v>3</v>
      </c>
      <c r="E3" s="16" t="n">
        <v>15</v>
      </c>
      <c r="F3" s="15" t="s">
        <v>79</v>
      </c>
    </row>
    <row r="4" customFormat="false" ht="17.25" hidden="false" customHeight="true" outlineLevel="0" collapsed="false">
      <c r="A4" s="11" t="s">
        <v>83</v>
      </c>
      <c r="B4" s="12" t="s">
        <v>84</v>
      </c>
      <c r="C4" s="12" t="s">
        <v>85</v>
      </c>
      <c r="D4" s="13" t="n">
        <v>2</v>
      </c>
      <c r="E4" s="13" t="n">
        <v>10</v>
      </c>
      <c r="F4" s="12" t="s">
        <v>86</v>
      </c>
    </row>
    <row r="5" customFormat="false" ht="28.5" hidden="false" customHeight="true" outlineLevel="0" collapsed="false">
      <c r="A5" s="14" t="s">
        <v>87</v>
      </c>
      <c r="B5" s="15" t="s">
        <v>88</v>
      </c>
      <c r="C5" s="15" t="s">
        <v>89</v>
      </c>
      <c r="D5" s="16" t="n">
        <v>4</v>
      </c>
      <c r="E5" s="16" t="n">
        <v>26</v>
      </c>
      <c r="F5" s="15" t="s">
        <v>90</v>
      </c>
    </row>
    <row r="6" customFormat="false" ht="28.5" hidden="false" customHeight="true" outlineLevel="0" collapsed="false">
      <c r="A6" s="11" t="s">
        <v>91</v>
      </c>
      <c r="B6" s="12" t="s">
        <v>92</v>
      </c>
      <c r="C6" s="12" t="s">
        <v>93</v>
      </c>
      <c r="D6" s="13" t="n">
        <v>3</v>
      </c>
      <c r="E6" s="13" t="n">
        <v>13</v>
      </c>
      <c r="F6" s="12" t="s">
        <v>94</v>
      </c>
    </row>
    <row r="7" customFormat="false" ht="17.25" hidden="false" customHeight="true" outlineLevel="0" collapsed="false">
      <c r="A7" s="14" t="s">
        <v>95</v>
      </c>
      <c r="B7" s="15" t="s">
        <v>96</v>
      </c>
      <c r="C7" s="15" t="s">
        <v>97</v>
      </c>
      <c r="D7" s="16" t="n">
        <v>3</v>
      </c>
      <c r="E7" s="16" t="n">
        <v>18</v>
      </c>
      <c r="F7" s="15" t="s">
        <v>98</v>
      </c>
    </row>
    <row r="8" customFormat="false" ht="17.25" hidden="false" customHeight="true" outlineLevel="0" collapsed="false">
      <c r="A8" s="11" t="s">
        <v>99</v>
      </c>
      <c r="B8" s="12" t="s">
        <v>100</v>
      </c>
      <c r="C8" s="12" t="s">
        <v>101</v>
      </c>
      <c r="D8" s="13" t="n">
        <v>6</v>
      </c>
      <c r="E8" s="13" t="n">
        <v>45</v>
      </c>
      <c r="F8" s="12" t="s">
        <v>102</v>
      </c>
    </row>
    <row r="9" customFormat="false" ht="28.5" hidden="false" customHeight="true" outlineLevel="0" collapsed="false">
      <c r="A9" s="14" t="s">
        <v>103</v>
      </c>
      <c r="B9" s="15" t="s">
        <v>104</v>
      </c>
      <c r="C9" s="15" t="s">
        <v>105</v>
      </c>
      <c r="D9" s="16" t="n">
        <v>11</v>
      </c>
      <c r="E9" s="16" t="n">
        <v>60</v>
      </c>
      <c r="F9" s="15" t="s">
        <v>106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O3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8"/>
    <col collapsed="false" customWidth="true" hidden="false" outlineLevel="0" max="4" min="4" style="0" width="32"/>
    <col collapsed="false" customWidth="true" hidden="false" outlineLevel="0" max="5" min="5" style="0" width="14"/>
    <col collapsed="false" customWidth="true" hidden="false" outlineLevel="0" max="6" min="6" style="0" width="9"/>
    <col collapsed="false" customWidth="true" hidden="false" outlineLevel="0" max="7" min="7" style="0" width="22"/>
    <col collapsed="false" customWidth="true" hidden="false" outlineLevel="0" max="8" min="8" style="0" width="15"/>
    <col collapsed="false" customWidth="true" hidden="false" outlineLevel="0" max="9" min="9" style="0" width="62"/>
    <col collapsed="false" customWidth="true" hidden="false" outlineLevel="0" max="10" min="10" style="0" width="52"/>
    <col collapsed="false" customWidth="true" hidden="false" outlineLevel="0" max="11" min="11" style="0" width="26"/>
    <col collapsed="false" customWidth="true" hidden="false" outlineLevel="0" max="12" min="12" style="0" width="7"/>
    <col collapsed="false" customWidth="true" hidden="false" outlineLevel="0" max="13" min="13" style="0" width="9"/>
    <col collapsed="false" customWidth="true" hidden="false" outlineLevel="0" max="14" min="14" style="0" width="20"/>
    <col collapsed="false" customWidth="true" hidden="false" outlineLevel="0" max="15" min="15" style="0" width="11"/>
  </cols>
  <sheetData>
    <row r="1" customFormat="false" ht="30" hidden="false" customHeight="true" outlineLevel="0" collapsed="false">
      <c r="A1" s="10" t="s">
        <v>107</v>
      </c>
      <c r="B1" s="10" t="s">
        <v>108</v>
      </c>
      <c r="C1" s="10" t="s">
        <v>109</v>
      </c>
      <c r="D1" s="10" t="s">
        <v>110</v>
      </c>
      <c r="E1" s="10" t="s">
        <v>111</v>
      </c>
      <c r="F1" s="10" t="s">
        <v>112</v>
      </c>
      <c r="G1" s="10" t="s">
        <v>113</v>
      </c>
      <c r="H1" s="10" t="s">
        <v>28</v>
      </c>
      <c r="I1" s="10" t="s">
        <v>114</v>
      </c>
      <c r="J1" s="10" t="s">
        <v>115</v>
      </c>
      <c r="K1" s="10" t="s">
        <v>116</v>
      </c>
      <c r="L1" s="10" t="s">
        <v>75</v>
      </c>
      <c r="M1" s="10" t="s">
        <v>117</v>
      </c>
      <c r="N1" s="10" t="s">
        <v>118</v>
      </c>
      <c r="O1" s="10" t="s">
        <v>119</v>
      </c>
    </row>
    <row r="2" customFormat="false" ht="63" hidden="false" customHeight="true" outlineLevel="0" collapsed="false">
      <c r="A2" s="11" t="s">
        <v>120</v>
      </c>
      <c r="B2" s="13" t="s">
        <v>121</v>
      </c>
      <c r="C2" s="12" t="s">
        <v>122</v>
      </c>
      <c r="D2" s="12" t="s">
        <v>123</v>
      </c>
      <c r="E2" s="12" t="s">
        <v>76</v>
      </c>
      <c r="F2" s="13" t="s">
        <v>79</v>
      </c>
      <c r="G2" s="12" t="s">
        <v>124</v>
      </c>
      <c r="H2" s="12" t="s">
        <v>125</v>
      </c>
      <c r="I2" s="12" t="s">
        <v>126</v>
      </c>
      <c r="J2" s="12" t="s">
        <v>127</v>
      </c>
      <c r="K2" s="12" t="s">
        <v>128</v>
      </c>
      <c r="L2" s="13" t="n">
        <v>3</v>
      </c>
      <c r="M2" s="17" t="s">
        <v>129</v>
      </c>
      <c r="N2" s="12" t="s">
        <v>130</v>
      </c>
      <c r="O2" s="13" t="s">
        <v>131</v>
      </c>
    </row>
    <row r="3" customFormat="false" ht="86.25" hidden="false" customHeight="true" outlineLevel="0" collapsed="false">
      <c r="A3" s="11" t="s">
        <v>132</v>
      </c>
      <c r="B3" s="13" t="s">
        <v>121</v>
      </c>
      <c r="C3" s="12" t="s">
        <v>122</v>
      </c>
      <c r="D3" s="12" t="s">
        <v>133</v>
      </c>
      <c r="E3" s="12" t="s">
        <v>76</v>
      </c>
      <c r="F3" s="13" t="s">
        <v>79</v>
      </c>
      <c r="G3" s="12" t="s">
        <v>134</v>
      </c>
      <c r="H3" s="12" t="s">
        <v>125</v>
      </c>
      <c r="I3" s="12" t="s">
        <v>135</v>
      </c>
      <c r="J3" s="12" t="s">
        <v>136</v>
      </c>
      <c r="K3" s="12" t="s">
        <v>128</v>
      </c>
      <c r="L3" s="13" t="n">
        <v>5</v>
      </c>
      <c r="M3" s="18" t="s">
        <v>137</v>
      </c>
      <c r="N3" s="12" t="s">
        <v>120</v>
      </c>
      <c r="O3" s="13" t="s">
        <v>131</v>
      </c>
    </row>
    <row r="4" customFormat="false" ht="86.25" hidden="false" customHeight="true" outlineLevel="0" collapsed="false">
      <c r="A4" s="11" t="s">
        <v>138</v>
      </c>
      <c r="B4" s="13" t="s">
        <v>121</v>
      </c>
      <c r="C4" s="12" t="s">
        <v>122</v>
      </c>
      <c r="D4" s="12" t="s">
        <v>139</v>
      </c>
      <c r="E4" s="12" t="s">
        <v>76</v>
      </c>
      <c r="F4" s="13" t="s">
        <v>79</v>
      </c>
      <c r="G4" s="12" t="s">
        <v>140</v>
      </c>
      <c r="H4" s="12" t="s">
        <v>125</v>
      </c>
      <c r="I4" s="12" t="s">
        <v>141</v>
      </c>
      <c r="J4" s="12" t="s">
        <v>142</v>
      </c>
      <c r="K4" s="12" t="s">
        <v>128</v>
      </c>
      <c r="L4" s="13" t="n">
        <v>8</v>
      </c>
      <c r="M4" s="18" t="s">
        <v>137</v>
      </c>
      <c r="N4" s="12" t="s">
        <v>143</v>
      </c>
      <c r="O4" s="13" t="s">
        <v>131</v>
      </c>
    </row>
    <row r="5" customFormat="false" ht="40.5" hidden="false" customHeight="true" outlineLevel="0" collapsed="false">
      <c r="A5" s="11" t="s">
        <v>144</v>
      </c>
      <c r="B5" s="13" t="s">
        <v>121</v>
      </c>
      <c r="C5" s="12" t="s">
        <v>122</v>
      </c>
      <c r="D5" s="12" t="s">
        <v>145</v>
      </c>
      <c r="E5" s="12" t="s">
        <v>76</v>
      </c>
      <c r="F5" s="13" t="s">
        <v>79</v>
      </c>
      <c r="G5" s="12" t="s">
        <v>146</v>
      </c>
      <c r="H5" s="12" t="s">
        <v>125</v>
      </c>
      <c r="I5" s="12" t="s">
        <v>147</v>
      </c>
      <c r="J5" s="12" t="s">
        <v>148</v>
      </c>
      <c r="K5" s="12" t="s">
        <v>128</v>
      </c>
      <c r="L5" s="13" t="n">
        <v>3</v>
      </c>
      <c r="M5" s="17" t="s">
        <v>129</v>
      </c>
      <c r="N5" s="12" t="s">
        <v>149</v>
      </c>
      <c r="O5" s="13" t="s">
        <v>131</v>
      </c>
    </row>
    <row r="6" customFormat="false" ht="75" hidden="false" customHeight="true" outlineLevel="0" collapsed="false">
      <c r="A6" s="11" t="s">
        <v>150</v>
      </c>
      <c r="B6" s="13" t="s">
        <v>121</v>
      </c>
      <c r="C6" s="12" t="s">
        <v>151</v>
      </c>
      <c r="D6" s="12" t="s">
        <v>152</v>
      </c>
      <c r="E6" s="12" t="s">
        <v>80</v>
      </c>
      <c r="F6" s="13" t="s">
        <v>79</v>
      </c>
      <c r="G6" s="12" t="s">
        <v>153</v>
      </c>
      <c r="H6" s="12" t="s">
        <v>125</v>
      </c>
      <c r="I6" s="12" t="s">
        <v>154</v>
      </c>
      <c r="J6" s="12" t="s">
        <v>155</v>
      </c>
      <c r="K6" s="12" t="s">
        <v>128</v>
      </c>
      <c r="L6" s="13" t="n">
        <v>5</v>
      </c>
      <c r="M6" s="18" t="s">
        <v>137</v>
      </c>
      <c r="N6" s="12" t="s">
        <v>156</v>
      </c>
      <c r="O6" s="13" t="s">
        <v>131</v>
      </c>
    </row>
    <row r="7" customFormat="false" ht="75" hidden="false" customHeight="true" outlineLevel="0" collapsed="false">
      <c r="A7" s="11" t="s">
        <v>157</v>
      </c>
      <c r="B7" s="13" t="s">
        <v>121</v>
      </c>
      <c r="C7" s="12" t="s">
        <v>151</v>
      </c>
      <c r="D7" s="12" t="s">
        <v>158</v>
      </c>
      <c r="E7" s="12" t="s">
        <v>80</v>
      </c>
      <c r="F7" s="13" t="s">
        <v>79</v>
      </c>
      <c r="G7" s="12" t="s">
        <v>159</v>
      </c>
      <c r="H7" s="12" t="s">
        <v>125</v>
      </c>
      <c r="I7" s="12" t="s">
        <v>160</v>
      </c>
      <c r="J7" s="12" t="s">
        <v>161</v>
      </c>
      <c r="K7" s="12" t="s">
        <v>128</v>
      </c>
      <c r="L7" s="13" t="n">
        <v>5</v>
      </c>
      <c r="M7" s="18" t="s">
        <v>137</v>
      </c>
      <c r="N7" s="12" t="s">
        <v>162</v>
      </c>
      <c r="O7" s="13" t="s">
        <v>131</v>
      </c>
    </row>
    <row r="8" customFormat="false" ht="51.75" hidden="false" customHeight="true" outlineLevel="0" collapsed="false">
      <c r="A8" s="11" t="s">
        <v>163</v>
      </c>
      <c r="B8" s="13" t="s">
        <v>121</v>
      </c>
      <c r="C8" s="12" t="s">
        <v>151</v>
      </c>
      <c r="D8" s="12" t="s">
        <v>164</v>
      </c>
      <c r="E8" s="12" t="s">
        <v>80</v>
      </c>
      <c r="F8" s="13" t="s">
        <v>79</v>
      </c>
      <c r="G8" s="12" t="s">
        <v>165</v>
      </c>
      <c r="H8" s="12" t="s">
        <v>125</v>
      </c>
      <c r="I8" s="12" t="s">
        <v>166</v>
      </c>
      <c r="J8" s="12" t="s">
        <v>167</v>
      </c>
      <c r="K8" s="12" t="s">
        <v>128</v>
      </c>
      <c r="L8" s="13" t="n">
        <v>5</v>
      </c>
      <c r="M8" s="17" t="s">
        <v>129</v>
      </c>
      <c r="N8" s="12" t="s">
        <v>168</v>
      </c>
      <c r="O8" s="13" t="s">
        <v>131</v>
      </c>
    </row>
    <row r="9" customFormat="false" ht="75" hidden="false" customHeight="true" outlineLevel="0" collapsed="false">
      <c r="A9" s="11" t="s">
        <v>169</v>
      </c>
      <c r="B9" s="13" t="s">
        <v>121</v>
      </c>
      <c r="C9" s="12" t="s">
        <v>84</v>
      </c>
      <c r="D9" s="12" t="s">
        <v>170</v>
      </c>
      <c r="E9" s="12" t="s">
        <v>83</v>
      </c>
      <c r="F9" s="13" t="s">
        <v>86</v>
      </c>
      <c r="G9" s="12" t="s">
        <v>171</v>
      </c>
      <c r="H9" s="12" t="s">
        <v>125</v>
      </c>
      <c r="I9" s="12" t="s">
        <v>172</v>
      </c>
      <c r="J9" s="12" t="s">
        <v>173</v>
      </c>
      <c r="K9" s="12" t="s">
        <v>128</v>
      </c>
      <c r="L9" s="13" t="n">
        <v>5</v>
      </c>
      <c r="M9" s="17" t="s">
        <v>129</v>
      </c>
      <c r="N9" s="12" t="s">
        <v>174</v>
      </c>
      <c r="O9" s="13" t="s">
        <v>131</v>
      </c>
    </row>
    <row r="10" customFormat="false" ht="51.75" hidden="false" customHeight="true" outlineLevel="0" collapsed="false">
      <c r="A10" s="11" t="s">
        <v>175</v>
      </c>
      <c r="B10" s="13" t="s">
        <v>121</v>
      </c>
      <c r="C10" s="12" t="s">
        <v>84</v>
      </c>
      <c r="D10" s="12" t="s">
        <v>176</v>
      </c>
      <c r="E10" s="12" t="s">
        <v>83</v>
      </c>
      <c r="F10" s="13" t="s">
        <v>86</v>
      </c>
      <c r="G10" s="12" t="s">
        <v>177</v>
      </c>
      <c r="H10" s="12" t="s">
        <v>125</v>
      </c>
      <c r="I10" s="12" t="s">
        <v>178</v>
      </c>
      <c r="J10" s="12" t="s">
        <v>179</v>
      </c>
      <c r="K10" s="12" t="s">
        <v>128</v>
      </c>
      <c r="L10" s="13" t="n">
        <v>5</v>
      </c>
      <c r="M10" s="17" t="s">
        <v>129</v>
      </c>
      <c r="N10" s="12" t="s">
        <v>169</v>
      </c>
      <c r="O10" s="13" t="s">
        <v>131</v>
      </c>
    </row>
    <row r="11" customFormat="false" ht="51.75" hidden="false" customHeight="true" outlineLevel="0" collapsed="false">
      <c r="A11" s="11" t="s">
        <v>180</v>
      </c>
      <c r="B11" s="13" t="s">
        <v>121</v>
      </c>
      <c r="C11" s="12" t="s">
        <v>88</v>
      </c>
      <c r="D11" s="12" t="s">
        <v>181</v>
      </c>
      <c r="E11" s="12" t="s">
        <v>87</v>
      </c>
      <c r="F11" s="13" t="s">
        <v>86</v>
      </c>
      <c r="G11" s="12" t="s">
        <v>182</v>
      </c>
      <c r="H11" s="12" t="s">
        <v>125</v>
      </c>
      <c r="I11" s="12" t="s">
        <v>183</v>
      </c>
      <c r="J11" s="12" t="s">
        <v>184</v>
      </c>
      <c r="K11" s="12" t="s">
        <v>128</v>
      </c>
      <c r="L11" s="13" t="n">
        <v>5</v>
      </c>
      <c r="M11" s="18" t="s">
        <v>137</v>
      </c>
      <c r="N11" s="12" t="s">
        <v>185</v>
      </c>
      <c r="O11" s="13" t="s">
        <v>131</v>
      </c>
    </row>
    <row r="12" customFormat="false" ht="97.5" hidden="false" customHeight="true" outlineLevel="0" collapsed="false">
      <c r="A12" s="11" t="s">
        <v>186</v>
      </c>
      <c r="B12" s="13" t="s">
        <v>121</v>
      </c>
      <c r="C12" s="12" t="s">
        <v>88</v>
      </c>
      <c r="D12" s="12" t="s">
        <v>187</v>
      </c>
      <c r="E12" s="12" t="s">
        <v>87</v>
      </c>
      <c r="F12" s="13" t="s">
        <v>86</v>
      </c>
      <c r="G12" s="12" t="s">
        <v>125</v>
      </c>
      <c r="H12" s="12" t="s">
        <v>125</v>
      </c>
      <c r="I12" s="12" t="s">
        <v>188</v>
      </c>
      <c r="J12" s="12" t="s">
        <v>189</v>
      </c>
      <c r="K12" s="12" t="s">
        <v>128</v>
      </c>
      <c r="L12" s="13" t="n">
        <v>8</v>
      </c>
      <c r="M12" s="18" t="s">
        <v>137</v>
      </c>
      <c r="N12" s="12" t="s">
        <v>180</v>
      </c>
      <c r="O12" s="13" t="s">
        <v>131</v>
      </c>
    </row>
    <row r="13" customFormat="false" ht="75" hidden="false" customHeight="true" outlineLevel="0" collapsed="false">
      <c r="A13" s="11" t="s">
        <v>190</v>
      </c>
      <c r="B13" s="13" t="s">
        <v>121</v>
      </c>
      <c r="C13" s="12" t="s">
        <v>88</v>
      </c>
      <c r="D13" s="12" t="s">
        <v>191</v>
      </c>
      <c r="E13" s="12" t="s">
        <v>87</v>
      </c>
      <c r="F13" s="13" t="s">
        <v>86</v>
      </c>
      <c r="G13" s="12" t="s">
        <v>125</v>
      </c>
      <c r="H13" s="12" t="s">
        <v>125</v>
      </c>
      <c r="I13" s="12" t="s">
        <v>192</v>
      </c>
      <c r="J13" s="12" t="s">
        <v>193</v>
      </c>
      <c r="K13" s="12" t="s">
        <v>128</v>
      </c>
      <c r="L13" s="13" t="n">
        <v>8</v>
      </c>
      <c r="M13" s="17" t="s">
        <v>129</v>
      </c>
      <c r="N13" s="12" t="s">
        <v>180</v>
      </c>
      <c r="O13" s="13" t="s">
        <v>131</v>
      </c>
    </row>
    <row r="14" customFormat="false" ht="51.75" hidden="false" customHeight="true" outlineLevel="0" collapsed="false">
      <c r="A14" s="11" t="s">
        <v>194</v>
      </c>
      <c r="B14" s="13" t="s">
        <v>121</v>
      </c>
      <c r="C14" s="12" t="s">
        <v>88</v>
      </c>
      <c r="D14" s="12" t="s">
        <v>195</v>
      </c>
      <c r="E14" s="12" t="s">
        <v>87</v>
      </c>
      <c r="F14" s="13" t="s">
        <v>94</v>
      </c>
      <c r="G14" s="12" t="s">
        <v>196</v>
      </c>
      <c r="H14" s="12" t="s">
        <v>125</v>
      </c>
      <c r="I14" s="12" t="s">
        <v>197</v>
      </c>
      <c r="J14" s="12" t="s">
        <v>198</v>
      </c>
      <c r="K14" s="12" t="s">
        <v>128</v>
      </c>
      <c r="L14" s="13" t="n">
        <v>5</v>
      </c>
      <c r="M14" s="17" t="s">
        <v>129</v>
      </c>
      <c r="N14" s="12" t="s">
        <v>199</v>
      </c>
      <c r="O14" s="13" t="s">
        <v>131</v>
      </c>
    </row>
    <row r="15" customFormat="false" ht="51.75" hidden="false" customHeight="true" outlineLevel="0" collapsed="false">
      <c r="A15" s="11" t="s">
        <v>200</v>
      </c>
      <c r="B15" s="13" t="s">
        <v>121</v>
      </c>
      <c r="C15" s="12" t="s">
        <v>201</v>
      </c>
      <c r="D15" s="12" t="s">
        <v>202</v>
      </c>
      <c r="E15" s="12" t="s">
        <v>91</v>
      </c>
      <c r="F15" s="13" t="s">
        <v>94</v>
      </c>
      <c r="G15" s="12" t="s">
        <v>203</v>
      </c>
      <c r="H15" s="12" t="s">
        <v>125</v>
      </c>
      <c r="I15" s="12" t="s">
        <v>204</v>
      </c>
      <c r="J15" s="12" t="s">
        <v>205</v>
      </c>
      <c r="K15" s="12" t="s">
        <v>128</v>
      </c>
      <c r="L15" s="13" t="n">
        <v>5</v>
      </c>
      <c r="M15" s="17" t="s">
        <v>129</v>
      </c>
      <c r="N15" s="12" t="s">
        <v>206</v>
      </c>
      <c r="O15" s="13" t="s">
        <v>131</v>
      </c>
    </row>
    <row r="16" customFormat="false" ht="63" hidden="false" customHeight="true" outlineLevel="0" collapsed="false">
      <c r="A16" s="11" t="s">
        <v>207</v>
      </c>
      <c r="B16" s="13" t="s">
        <v>121</v>
      </c>
      <c r="C16" s="12" t="s">
        <v>201</v>
      </c>
      <c r="D16" s="12" t="s">
        <v>208</v>
      </c>
      <c r="E16" s="12" t="s">
        <v>91</v>
      </c>
      <c r="F16" s="13" t="s">
        <v>94</v>
      </c>
      <c r="G16" s="12" t="s">
        <v>209</v>
      </c>
      <c r="H16" s="12" t="s">
        <v>125</v>
      </c>
      <c r="I16" s="12" t="s">
        <v>210</v>
      </c>
      <c r="J16" s="12" t="s">
        <v>211</v>
      </c>
      <c r="K16" s="12" t="s">
        <v>128</v>
      </c>
      <c r="L16" s="13" t="n">
        <v>5</v>
      </c>
      <c r="M16" s="18" t="s">
        <v>137</v>
      </c>
      <c r="N16" s="12" t="s">
        <v>212</v>
      </c>
      <c r="O16" s="13" t="s">
        <v>131</v>
      </c>
    </row>
    <row r="17" customFormat="false" ht="28.5" hidden="false" customHeight="true" outlineLevel="0" collapsed="false">
      <c r="A17" s="11" t="s">
        <v>213</v>
      </c>
      <c r="B17" s="13" t="s">
        <v>121</v>
      </c>
      <c r="C17" s="12" t="s">
        <v>201</v>
      </c>
      <c r="D17" s="12" t="s">
        <v>214</v>
      </c>
      <c r="E17" s="12" t="s">
        <v>91</v>
      </c>
      <c r="F17" s="13" t="s">
        <v>94</v>
      </c>
      <c r="G17" s="12" t="s">
        <v>125</v>
      </c>
      <c r="H17" s="12" t="s">
        <v>125</v>
      </c>
      <c r="I17" s="12" t="s">
        <v>215</v>
      </c>
      <c r="J17" s="12" t="s">
        <v>216</v>
      </c>
      <c r="K17" s="12" t="s">
        <v>128</v>
      </c>
      <c r="L17" s="13" t="n">
        <v>3</v>
      </c>
      <c r="M17" s="17" t="s">
        <v>129</v>
      </c>
      <c r="N17" s="12" t="s">
        <v>217</v>
      </c>
      <c r="O17" s="13" t="s">
        <v>131</v>
      </c>
    </row>
    <row r="18" customFormat="false" ht="63" hidden="false" customHeight="true" outlineLevel="0" collapsed="false">
      <c r="A18" s="11" t="s">
        <v>218</v>
      </c>
      <c r="B18" s="13" t="s">
        <v>121</v>
      </c>
      <c r="C18" s="12" t="s">
        <v>219</v>
      </c>
      <c r="D18" s="12" t="s">
        <v>220</v>
      </c>
      <c r="E18" s="12" t="s">
        <v>95</v>
      </c>
      <c r="F18" s="13" t="s">
        <v>98</v>
      </c>
      <c r="G18" s="12" t="s">
        <v>221</v>
      </c>
      <c r="H18" s="12" t="s">
        <v>125</v>
      </c>
      <c r="I18" s="12" t="s">
        <v>222</v>
      </c>
      <c r="J18" s="12" t="s">
        <v>223</v>
      </c>
      <c r="K18" s="12" t="s">
        <v>128</v>
      </c>
      <c r="L18" s="13" t="n">
        <v>8</v>
      </c>
      <c r="M18" s="17" t="s">
        <v>129</v>
      </c>
      <c r="N18" s="12" t="s">
        <v>224</v>
      </c>
      <c r="O18" s="13" t="s">
        <v>131</v>
      </c>
    </row>
    <row r="19" customFormat="false" ht="51.75" hidden="false" customHeight="true" outlineLevel="0" collapsed="false">
      <c r="A19" s="11" t="s">
        <v>225</v>
      </c>
      <c r="B19" s="13" t="s">
        <v>121</v>
      </c>
      <c r="C19" s="12" t="s">
        <v>219</v>
      </c>
      <c r="D19" s="12" t="s">
        <v>226</v>
      </c>
      <c r="E19" s="12" t="s">
        <v>95</v>
      </c>
      <c r="F19" s="13" t="s">
        <v>98</v>
      </c>
      <c r="G19" s="12" t="s">
        <v>227</v>
      </c>
      <c r="H19" s="12" t="s">
        <v>125</v>
      </c>
      <c r="I19" s="12" t="s">
        <v>228</v>
      </c>
      <c r="J19" s="12" t="s">
        <v>229</v>
      </c>
      <c r="K19" s="12" t="s">
        <v>128</v>
      </c>
      <c r="L19" s="13" t="n">
        <v>5</v>
      </c>
      <c r="M19" s="17" t="s">
        <v>129</v>
      </c>
      <c r="N19" s="12" t="s">
        <v>218</v>
      </c>
      <c r="O19" s="13" t="s">
        <v>131</v>
      </c>
    </row>
    <row r="20" customFormat="false" ht="51.75" hidden="false" customHeight="true" outlineLevel="0" collapsed="false">
      <c r="A20" s="11" t="s">
        <v>230</v>
      </c>
      <c r="B20" s="13" t="s">
        <v>121</v>
      </c>
      <c r="C20" s="12" t="s">
        <v>219</v>
      </c>
      <c r="D20" s="12" t="s">
        <v>231</v>
      </c>
      <c r="E20" s="12" t="s">
        <v>95</v>
      </c>
      <c r="F20" s="13" t="s">
        <v>98</v>
      </c>
      <c r="G20" s="12" t="s">
        <v>125</v>
      </c>
      <c r="H20" s="12" t="s">
        <v>125</v>
      </c>
      <c r="I20" s="12" t="s">
        <v>232</v>
      </c>
      <c r="J20" s="12" t="s">
        <v>233</v>
      </c>
      <c r="K20" s="12" t="s">
        <v>128</v>
      </c>
      <c r="L20" s="13" t="n">
        <v>5</v>
      </c>
      <c r="M20" s="17" t="s">
        <v>129</v>
      </c>
      <c r="N20" s="12" t="s">
        <v>234</v>
      </c>
      <c r="O20" s="13" t="s">
        <v>131</v>
      </c>
    </row>
    <row r="21" customFormat="false" ht="97.5" hidden="false" customHeight="true" outlineLevel="0" collapsed="false">
      <c r="A21" s="11" t="s">
        <v>235</v>
      </c>
      <c r="B21" s="13" t="s">
        <v>121</v>
      </c>
      <c r="C21" s="12" t="s">
        <v>125</v>
      </c>
      <c r="D21" s="12" t="s">
        <v>236</v>
      </c>
      <c r="E21" s="12" t="s">
        <v>99</v>
      </c>
      <c r="F21" s="13" t="s">
        <v>94</v>
      </c>
      <c r="G21" s="12" t="s">
        <v>125</v>
      </c>
      <c r="H21" s="12" t="s">
        <v>125</v>
      </c>
      <c r="I21" s="12" t="s">
        <v>237</v>
      </c>
      <c r="J21" s="12" t="s">
        <v>238</v>
      </c>
      <c r="K21" s="12" t="s">
        <v>128</v>
      </c>
      <c r="L21" s="13" t="n">
        <v>8</v>
      </c>
      <c r="M21" s="19" t="s">
        <v>239</v>
      </c>
      <c r="N21" s="12" t="s">
        <v>180</v>
      </c>
      <c r="O21" s="13" t="s">
        <v>131</v>
      </c>
    </row>
    <row r="22" customFormat="false" ht="97.5" hidden="false" customHeight="true" outlineLevel="0" collapsed="false">
      <c r="A22" s="11" t="s">
        <v>240</v>
      </c>
      <c r="B22" s="13" t="s">
        <v>121</v>
      </c>
      <c r="C22" s="12" t="s">
        <v>125</v>
      </c>
      <c r="D22" s="12" t="s">
        <v>241</v>
      </c>
      <c r="E22" s="12" t="s">
        <v>99</v>
      </c>
      <c r="F22" s="13" t="s">
        <v>94</v>
      </c>
      <c r="G22" s="12" t="s">
        <v>125</v>
      </c>
      <c r="H22" s="12" t="s">
        <v>125</v>
      </c>
      <c r="I22" s="12" t="s">
        <v>242</v>
      </c>
      <c r="J22" s="12" t="s">
        <v>243</v>
      </c>
      <c r="K22" s="12" t="s">
        <v>128</v>
      </c>
      <c r="L22" s="13" t="n">
        <v>8</v>
      </c>
      <c r="M22" s="19" t="s">
        <v>239</v>
      </c>
      <c r="N22" s="12" t="s">
        <v>244</v>
      </c>
      <c r="O22" s="13" t="s">
        <v>131</v>
      </c>
    </row>
    <row r="23" customFormat="false" ht="97.5" hidden="false" customHeight="true" outlineLevel="0" collapsed="false">
      <c r="A23" s="11" t="s">
        <v>245</v>
      </c>
      <c r="B23" s="13" t="s">
        <v>121</v>
      </c>
      <c r="C23" s="12" t="s">
        <v>125</v>
      </c>
      <c r="D23" s="12" t="s">
        <v>246</v>
      </c>
      <c r="E23" s="12" t="s">
        <v>99</v>
      </c>
      <c r="F23" s="13" t="s">
        <v>98</v>
      </c>
      <c r="G23" s="12" t="s">
        <v>125</v>
      </c>
      <c r="H23" s="12" t="s">
        <v>125</v>
      </c>
      <c r="I23" s="12" t="s">
        <v>247</v>
      </c>
      <c r="J23" s="12" t="s">
        <v>248</v>
      </c>
      <c r="K23" s="12" t="s">
        <v>128</v>
      </c>
      <c r="L23" s="13" t="n">
        <v>8</v>
      </c>
      <c r="M23" s="19" t="s">
        <v>239</v>
      </c>
      <c r="N23" s="12" t="s">
        <v>249</v>
      </c>
      <c r="O23" s="13" t="s">
        <v>131</v>
      </c>
    </row>
    <row r="24" customFormat="false" ht="75" hidden="false" customHeight="true" outlineLevel="0" collapsed="false">
      <c r="A24" s="11" t="s">
        <v>250</v>
      </c>
      <c r="B24" s="13" t="s">
        <v>121</v>
      </c>
      <c r="C24" s="12" t="s">
        <v>125</v>
      </c>
      <c r="D24" s="12" t="s">
        <v>251</v>
      </c>
      <c r="E24" s="12" t="s">
        <v>99</v>
      </c>
      <c r="F24" s="13" t="s">
        <v>98</v>
      </c>
      <c r="G24" s="12" t="s">
        <v>125</v>
      </c>
      <c r="H24" s="12" t="s">
        <v>125</v>
      </c>
      <c r="I24" s="12" t="s">
        <v>252</v>
      </c>
      <c r="J24" s="12" t="s">
        <v>253</v>
      </c>
      <c r="K24" s="12" t="s">
        <v>128</v>
      </c>
      <c r="L24" s="13" t="n">
        <v>8</v>
      </c>
      <c r="M24" s="19" t="s">
        <v>239</v>
      </c>
      <c r="N24" s="12" t="s">
        <v>245</v>
      </c>
      <c r="O24" s="13" t="s">
        <v>131</v>
      </c>
    </row>
    <row r="25" customFormat="false" ht="63" hidden="false" customHeight="true" outlineLevel="0" collapsed="false">
      <c r="A25" s="11" t="s">
        <v>254</v>
      </c>
      <c r="B25" s="13" t="s">
        <v>121</v>
      </c>
      <c r="C25" s="12" t="s">
        <v>125</v>
      </c>
      <c r="D25" s="12" t="s">
        <v>255</v>
      </c>
      <c r="E25" s="12" t="s">
        <v>99</v>
      </c>
      <c r="F25" s="13" t="s">
        <v>256</v>
      </c>
      <c r="G25" s="12" t="s">
        <v>125</v>
      </c>
      <c r="H25" s="12" t="s">
        <v>125</v>
      </c>
      <c r="I25" s="12" t="s">
        <v>257</v>
      </c>
      <c r="J25" s="12" t="s">
        <v>258</v>
      </c>
      <c r="K25" s="12" t="s">
        <v>128</v>
      </c>
      <c r="L25" s="13" t="n">
        <v>5</v>
      </c>
      <c r="M25" s="19" t="s">
        <v>239</v>
      </c>
      <c r="N25" s="12" t="s">
        <v>250</v>
      </c>
      <c r="O25" s="13" t="s">
        <v>131</v>
      </c>
    </row>
    <row r="26" customFormat="false" ht="75" hidden="false" customHeight="true" outlineLevel="0" collapsed="false">
      <c r="A26" s="14" t="s">
        <v>259</v>
      </c>
      <c r="B26" s="16" t="s">
        <v>260</v>
      </c>
      <c r="C26" s="15" t="s">
        <v>261</v>
      </c>
      <c r="D26" s="15" t="s">
        <v>262</v>
      </c>
      <c r="E26" s="15" t="s">
        <v>103</v>
      </c>
      <c r="F26" s="16" t="s">
        <v>79</v>
      </c>
      <c r="G26" s="15" t="s">
        <v>125</v>
      </c>
      <c r="H26" s="15" t="s">
        <v>125</v>
      </c>
      <c r="I26" s="15" t="s">
        <v>263</v>
      </c>
      <c r="J26" s="15" t="s">
        <v>264</v>
      </c>
      <c r="K26" s="15" t="s">
        <v>128</v>
      </c>
      <c r="L26" s="16" t="n">
        <v>5</v>
      </c>
      <c r="M26" s="17" t="s">
        <v>129</v>
      </c>
      <c r="N26" s="15" t="s">
        <v>150</v>
      </c>
      <c r="O26" s="16" t="s">
        <v>131</v>
      </c>
    </row>
    <row r="27" customFormat="false" ht="51.75" hidden="false" customHeight="true" outlineLevel="0" collapsed="false">
      <c r="A27" s="14" t="s">
        <v>265</v>
      </c>
      <c r="B27" s="16" t="s">
        <v>260</v>
      </c>
      <c r="C27" s="15" t="s">
        <v>261</v>
      </c>
      <c r="D27" s="15" t="s">
        <v>266</v>
      </c>
      <c r="E27" s="15" t="s">
        <v>103</v>
      </c>
      <c r="F27" s="16" t="s">
        <v>86</v>
      </c>
      <c r="G27" s="15" t="s">
        <v>125</v>
      </c>
      <c r="H27" s="15" t="s">
        <v>125</v>
      </c>
      <c r="I27" s="15" t="s">
        <v>267</v>
      </c>
      <c r="J27" s="15" t="s">
        <v>268</v>
      </c>
      <c r="K27" s="15" t="s">
        <v>128</v>
      </c>
      <c r="L27" s="16" t="n">
        <v>5</v>
      </c>
      <c r="M27" s="17" t="s">
        <v>129</v>
      </c>
      <c r="N27" s="15" t="s">
        <v>269</v>
      </c>
      <c r="O27" s="16" t="s">
        <v>131</v>
      </c>
    </row>
    <row r="28" customFormat="false" ht="63" hidden="false" customHeight="true" outlineLevel="0" collapsed="false">
      <c r="A28" s="14" t="s">
        <v>270</v>
      </c>
      <c r="B28" s="16" t="s">
        <v>260</v>
      </c>
      <c r="C28" s="15" t="s">
        <v>271</v>
      </c>
      <c r="D28" s="15" t="s">
        <v>272</v>
      </c>
      <c r="E28" s="15" t="s">
        <v>103</v>
      </c>
      <c r="F28" s="16" t="s">
        <v>79</v>
      </c>
      <c r="G28" s="15" t="s">
        <v>125</v>
      </c>
      <c r="H28" s="15" t="s">
        <v>125</v>
      </c>
      <c r="I28" s="15" t="s">
        <v>273</v>
      </c>
      <c r="J28" s="15" t="s">
        <v>274</v>
      </c>
      <c r="K28" s="15" t="s">
        <v>128</v>
      </c>
      <c r="L28" s="16" t="n">
        <v>5</v>
      </c>
      <c r="M28" s="17" t="s">
        <v>129</v>
      </c>
      <c r="N28" s="15" t="s">
        <v>150</v>
      </c>
      <c r="O28" s="16" t="s">
        <v>131</v>
      </c>
    </row>
    <row r="29" customFormat="false" ht="51.75" hidden="false" customHeight="true" outlineLevel="0" collapsed="false">
      <c r="A29" s="14" t="s">
        <v>275</v>
      </c>
      <c r="B29" s="16" t="s">
        <v>260</v>
      </c>
      <c r="C29" s="15" t="s">
        <v>271</v>
      </c>
      <c r="D29" s="15" t="s">
        <v>276</v>
      </c>
      <c r="E29" s="15" t="s">
        <v>103</v>
      </c>
      <c r="F29" s="16" t="s">
        <v>86</v>
      </c>
      <c r="G29" s="15" t="s">
        <v>125</v>
      </c>
      <c r="H29" s="15" t="s">
        <v>125</v>
      </c>
      <c r="I29" s="15" t="s">
        <v>277</v>
      </c>
      <c r="J29" s="15" t="s">
        <v>278</v>
      </c>
      <c r="K29" s="15" t="s">
        <v>128</v>
      </c>
      <c r="L29" s="16" t="n">
        <v>3</v>
      </c>
      <c r="M29" s="20" t="s">
        <v>279</v>
      </c>
      <c r="N29" s="15" t="s">
        <v>169</v>
      </c>
      <c r="O29" s="16" t="s">
        <v>131</v>
      </c>
    </row>
    <row r="30" customFormat="false" ht="63" hidden="false" customHeight="true" outlineLevel="0" collapsed="false">
      <c r="A30" s="14" t="s">
        <v>280</v>
      </c>
      <c r="B30" s="16" t="s">
        <v>260</v>
      </c>
      <c r="C30" s="15" t="s">
        <v>281</v>
      </c>
      <c r="D30" s="15" t="s">
        <v>282</v>
      </c>
      <c r="E30" s="15" t="s">
        <v>103</v>
      </c>
      <c r="F30" s="16" t="s">
        <v>79</v>
      </c>
      <c r="G30" s="15" t="s">
        <v>125</v>
      </c>
      <c r="H30" s="15" t="s">
        <v>125</v>
      </c>
      <c r="I30" s="15" t="s">
        <v>283</v>
      </c>
      <c r="J30" s="15" t="s">
        <v>284</v>
      </c>
      <c r="K30" s="15" t="s">
        <v>128</v>
      </c>
      <c r="L30" s="16" t="n">
        <v>8</v>
      </c>
      <c r="M30" s="18" t="s">
        <v>137</v>
      </c>
      <c r="N30" s="15" t="s">
        <v>285</v>
      </c>
      <c r="O30" s="16" t="s">
        <v>131</v>
      </c>
    </row>
    <row r="31" customFormat="false" ht="28.5" hidden="false" customHeight="true" outlineLevel="0" collapsed="false">
      <c r="A31" s="14" t="s">
        <v>286</v>
      </c>
      <c r="B31" s="16" t="s">
        <v>260</v>
      </c>
      <c r="C31" s="15" t="s">
        <v>281</v>
      </c>
      <c r="D31" s="15" t="s">
        <v>287</v>
      </c>
      <c r="E31" s="15" t="s">
        <v>103</v>
      </c>
      <c r="F31" s="16" t="s">
        <v>79</v>
      </c>
      <c r="G31" s="15" t="s">
        <v>125</v>
      </c>
      <c r="H31" s="15" t="s">
        <v>125</v>
      </c>
      <c r="I31" s="15" t="s">
        <v>288</v>
      </c>
      <c r="J31" s="15" t="s">
        <v>289</v>
      </c>
      <c r="K31" s="15" t="s">
        <v>128</v>
      </c>
      <c r="L31" s="16" t="n">
        <v>5</v>
      </c>
      <c r="M31" s="18" t="s">
        <v>137</v>
      </c>
      <c r="N31" s="15" t="s">
        <v>163</v>
      </c>
      <c r="O31" s="16" t="s">
        <v>131</v>
      </c>
    </row>
    <row r="32" customFormat="false" ht="51.75" hidden="false" customHeight="true" outlineLevel="0" collapsed="false">
      <c r="A32" s="14" t="s">
        <v>290</v>
      </c>
      <c r="B32" s="16" t="s">
        <v>260</v>
      </c>
      <c r="C32" s="15" t="s">
        <v>281</v>
      </c>
      <c r="D32" s="15" t="s">
        <v>291</v>
      </c>
      <c r="E32" s="15" t="s">
        <v>103</v>
      </c>
      <c r="F32" s="16" t="s">
        <v>86</v>
      </c>
      <c r="G32" s="15" t="s">
        <v>125</v>
      </c>
      <c r="H32" s="15" t="s">
        <v>125</v>
      </c>
      <c r="I32" s="15" t="s">
        <v>292</v>
      </c>
      <c r="J32" s="15" t="s">
        <v>293</v>
      </c>
      <c r="K32" s="15" t="s">
        <v>128</v>
      </c>
      <c r="L32" s="16" t="n">
        <v>8</v>
      </c>
      <c r="M32" s="18" t="s">
        <v>137</v>
      </c>
      <c r="N32" s="15" t="s">
        <v>190</v>
      </c>
      <c r="O32" s="16" t="s">
        <v>131</v>
      </c>
    </row>
    <row r="33" customFormat="false" ht="28.5" hidden="false" customHeight="true" outlineLevel="0" collapsed="false">
      <c r="A33" s="14" t="s">
        <v>294</v>
      </c>
      <c r="B33" s="16" t="s">
        <v>260</v>
      </c>
      <c r="C33" s="15" t="s">
        <v>281</v>
      </c>
      <c r="D33" s="15" t="s">
        <v>295</v>
      </c>
      <c r="E33" s="15" t="s">
        <v>103</v>
      </c>
      <c r="F33" s="16" t="s">
        <v>86</v>
      </c>
      <c r="G33" s="15" t="s">
        <v>125</v>
      </c>
      <c r="H33" s="15" t="s">
        <v>125</v>
      </c>
      <c r="I33" s="15" t="s">
        <v>296</v>
      </c>
      <c r="J33" s="15" t="s">
        <v>297</v>
      </c>
      <c r="K33" s="15" t="s">
        <v>128</v>
      </c>
      <c r="L33" s="16" t="n">
        <v>3</v>
      </c>
      <c r="M33" s="20" t="s">
        <v>279</v>
      </c>
      <c r="N33" s="15" t="s">
        <v>175</v>
      </c>
      <c r="O33" s="16" t="s">
        <v>131</v>
      </c>
    </row>
    <row r="34" customFormat="false" ht="51.75" hidden="false" customHeight="true" outlineLevel="0" collapsed="false">
      <c r="A34" s="14" t="s">
        <v>298</v>
      </c>
      <c r="B34" s="16" t="s">
        <v>260</v>
      </c>
      <c r="C34" s="15" t="s">
        <v>299</v>
      </c>
      <c r="D34" s="15" t="s">
        <v>300</v>
      </c>
      <c r="E34" s="15" t="s">
        <v>103</v>
      </c>
      <c r="F34" s="16" t="s">
        <v>94</v>
      </c>
      <c r="G34" s="15" t="s">
        <v>125</v>
      </c>
      <c r="H34" s="15" t="s">
        <v>125</v>
      </c>
      <c r="I34" s="15" t="s">
        <v>301</v>
      </c>
      <c r="J34" s="15" t="s">
        <v>302</v>
      </c>
      <c r="K34" s="15" t="s">
        <v>128</v>
      </c>
      <c r="L34" s="16" t="n">
        <v>8</v>
      </c>
      <c r="M34" s="18" t="s">
        <v>137</v>
      </c>
      <c r="N34" s="15" t="s">
        <v>194</v>
      </c>
      <c r="O34" s="16" t="s">
        <v>131</v>
      </c>
    </row>
    <row r="35" customFormat="false" ht="40.5" hidden="false" customHeight="true" outlineLevel="0" collapsed="false">
      <c r="A35" s="14" t="s">
        <v>303</v>
      </c>
      <c r="B35" s="16" t="s">
        <v>260</v>
      </c>
      <c r="C35" s="15" t="s">
        <v>299</v>
      </c>
      <c r="D35" s="15" t="s">
        <v>304</v>
      </c>
      <c r="E35" s="15" t="s">
        <v>103</v>
      </c>
      <c r="F35" s="16" t="s">
        <v>94</v>
      </c>
      <c r="G35" s="15" t="s">
        <v>125</v>
      </c>
      <c r="H35" s="15" t="s">
        <v>125</v>
      </c>
      <c r="I35" s="15" t="s">
        <v>305</v>
      </c>
      <c r="J35" s="15" t="s">
        <v>306</v>
      </c>
      <c r="K35" s="15" t="s">
        <v>128</v>
      </c>
      <c r="L35" s="16" t="n">
        <v>5</v>
      </c>
      <c r="M35" s="17" t="s">
        <v>129</v>
      </c>
      <c r="N35" s="15" t="s">
        <v>307</v>
      </c>
      <c r="O35" s="16" t="s">
        <v>131</v>
      </c>
    </row>
    <row r="36" customFormat="false" ht="40.5" hidden="false" customHeight="true" outlineLevel="0" collapsed="false">
      <c r="A36" s="14" t="s">
        <v>308</v>
      </c>
      <c r="B36" s="16" t="s">
        <v>260</v>
      </c>
      <c r="C36" s="15" t="s">
        <v>299</v>
      </c>
      <c r="D36" s="15" t="s">
        <v>309</v>
      </c>
      <c r="E36" s="15" t="s">
        <v>103</v>
      </c>
      <c r="F36" s="16" t="s">
        <v>98</v>
      </c>
      <c r="G36" s="15" t="s">
        <v>125</v>
      </c>
      <c r="H36" s="15" t="s">
        <v>125</v>
      </c>
      <c r="I36" s="15" t="s">
        <v>310</v>
      </c>
      <c r="J36" s="15" t="s">
        <v>311</v>
      </c>
      <c r="K36" s="15" t="s">
        <v>128</v>
      </c>
      <c r="L36" s="16" t="n">
        <v>5</v>
      </c>
      <c r="M36" s="17" t="s">
        <v>129</v>
      </c>
      <c r="N36" s="15" t="s">
        <v>312</v>
      </c>
      <c r="O36" s="16" t="s">
        <v>131</v>
      </c>
    </row>
    <row r="37" customFormat="false" ht="120.75" hidden="false" customHeight="true" outlineLevel="0" collapsed="false">
      <c r="A37" s="14" t="s">
        <v>313</v>
      </c>
      <c r="B37" s="16" t="s">
        <v>260</v>
      </c>
      <c r="C37" s="15" t="s">
        <v>125</v>
      </c>
      <c r="D37" s="15" t="s">
        <v>314</v>
      </c>
      <c r="E37" s="15" t="s">
        <v>99</v>
      </c>
      <c r="F37" s="16" t="s">
        <v>98</v>
      </c>
      <c r="G37" s="15" t="s">
        <v>125</v>
      </c>
      <c r="H37" s="15" t="s">
        <v>125</v>
      </c>
      <c r="I37" s="15" t="s">
        <v>315</v>
      </c>
      <c r="J37" s="15" t="s">
        <v>316</v>
      </c>
      <c r="K37" s="15" t="s">
        <v>128</v>
      </c>
      <c r="L37" s="16" t="n">
        <v>8</v>
      </c>
      <c r="M37" s="19" t="s">
        <v>239</v>
      </c>
      <c r="N37" s="15" t="s">
        <v>317</v>
      </c>
      <c r="O37" s="16" t="s">
        <v>131</v>
      </c>
    </row>
  </sheetData>
  <autoFilter ref="A1:O3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L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1" min="2" style="0" width="16"/>
  </cols>
  <sheetData>
    <row r="1" customFormat="false" ht="17.35" hidden="false" customHeight="false" outlineLevel="0" collapsed="false">
      <c r="A1" s="21" t="s">
        <v>318</v>
      </c>
    </row>
    <row r="2" customFormat="false" ht="30" hidden="false" customHeight="true" outlineLevel="0" collapsed="false">
      <c r="A2" s="2" t="s">
        <v>12</v>
      </c>
      <c r="B2" s="2"/>
      <c r="C2" s="2"/>
      <c r="D2" s="2"/>
      <c r="E2" s="2"/>
      <c r="F2" s="2"/>
      <c r="G2" s="2"/>
      <c r="H2" s="2"/>
    </row>
    <row r="4" customFormat="false" ht="15" hidden="false" customHeight="false" outlineLevel="0" collapsed="false">
      <c r="A4" s="22" t="s">
        <v>319</v>
      </c>
    </row>
    <row r="5" customFormat="false" ht="21.75" hidden="false" customHeight="true" outlineLevel="0" collapsed="false">
      <c r="A5" s="23"/>
      <c r="B5" s="24" t="s">
        <v>121</v>
      </c>
      <c r="C5" s="24" t="s">
        <v>260</v>
      </c>
      <c r="D5" s="25" t="s">
        <v>320</v>
      </c>
    </row>
    <row r="6" customFormat="false" ht="15" hidden="false" customHeight="false" outlineLevel="0" collapsed="false">
      <c r="A6" s="26" t="s">
        <v>79</v>
      </c>
      <c r="B6" s="27" t="n">
        <f aca="false">SUMIFS(Backlog!$L$2:$L$37,Backlog!$F$2:$F$37,"SP-14",Backlog!$B$2:$B$37,"Backend")</f>
        <v>34</v>
      </c>
      <c r="C6" s="27" t="n">
        <f aca="false">SUMIFS(Backlog!$L$2:$L$37,Backlog!$F$2:$F$37,"SP-14",Backlog!$B$2:$B$37,"Frontend")</f>
        <v>23</v>
      </c>
      <c r="D6" s="28" t="n">
        <f aca="false">SUM(B6:C6)</f>
        <v>57</v>
      </c>
    </row>
    <row r="7" customFormat="false" ht="15" hidden="false" customHeight="false" outlineLevel="0" collapsed="false">
      <c r="A7" s="29" t="s">
        <v>86</v>
      </c>
      <c r="B7" s="30" t="n">
        <f aca="false">SUMIFS(Backlog!$L$2:$L$37,Backlog!$F$2:$F$37,"SP-15",Backlog!$B$2:$B$37,"Backend")</f>
        <v>31</v>
      </c>
      <c r="C7" s="30" t="n">
        <f aca="false">SUMIFS(Backlog!$L$2:$L$37,Backlog!$F$2:$F$37,"SP-15",Backlog!$B$2:$B$37,"Frontend")</f>
        <v>19</v>
      </c>
      <c r="D7" s="31" t="n">
        <f aca="false">SUM(B7:C7)</f>
        <v>50</v>
      </c>
    </row>
    <row r="8" customFormat="false" ht="15" hidden="false" customHeight="false" outlineLevel="0" collapsed="false">
      <c r="A8" s="26" t="s">
        <v>94</v>
      </c>
      <c r="B8" s="27" t="n">
        <f aca="false">SUMIFS(Backlog!$L$2:$L$37,Backlog!$F$2:$F$37,"SP-16",Backlog!$B$2:$B$37,"Backend")</f>
        <v>34</v>
      </c>
      <c r="C8" s="27" t="n">
        <f aca="false">SUMIFS(Backlog!$L$2:$L$37,Backlog!$F$2:$F$37,"SP-16",Backlog!$B$2:$B$37,"Frontend")</f>
        <v>13</v>
      </c>
      <c r="D8" s="28" t="n">
        <f aca="false">SUM(B8:C8)</f>
        <v>47</v>
      </c>
    </row>
    <row r="9" customFormat="false" ht="15" hidden="false" customHeight="false" outlineLevel="0" collapsed="false">
      <c r="A9" s="29" t="s">
        <v>98</v>
      </c>
      <c r="B9" s="30" t="n">
        <f aca="false">SUMIFS(Backlog!$L$2:$L$37,Backlog!$F$2:$F$37,"SP-17",Backlog!$B$2:$B$37,"Backend")</f>
        <v>34</v>
      </c>
      <c r="C9" s="30" t="n">
        <f aca="false">SUMIFS(Backlog!$L$2:$L$37,Backlog!$F$2:$F$37,"SP-17",Backlog!$B$2:$B$37,"Frontend")</f>
        <v>13</v>
      </c>
      <c r="D9" s="31" t="n">
        <f aca="false">SUM(B9:C9)</f>
        <v>47</v>
      </c>
    </row>
    <row r="10" customFormat="false" ht="15" hidden="false" customHeight="false" outlineLevel="0" collapsed="false">
      <c r="A10" s="26" t="s">
        <v>256</v>
      </c>
      <c r="B10" s="27" t="n">
        <f aca="false">SUMIFS(Backlog!$L$2:$L$37,Backlog!$F$2:$F$37,"SP-18",Backlog!$B$2:$B$37,"Backend")</f>
        <v>5</v>
      </c>
      <c r="C10" s="27" t="n">
        <f aca="false">SUMIFS(Backlog!$L$2:$L$37,Backlog!$F$2:$F$37,"SP-18",Backlog!$B$2:$B$37,"Frontend")</f>
        <v>0</v>
      </c>
      <c r="D10" s="28" t="n">
        <f aca="false">SUM(B10:C10)</f>
        <v>5</v>
      </c>
    </row>
    <row r="11" customFormat="false" ht="15" hidden="false" customHeight="false" outlineLevel="0" collapsed="false">
      <c r="A11" s="9" t="s">
        <v>320</v>
      </c>
      <c r="B11" s="32" t="n">
        <f aca="false">SUM(B6:B10)</f>
        <v>138</v>
      </c>
      <c r="C11" s="32" t="n">
        <f aca="false">SUM(C6:C10)</f>
        <v>68</v>
      </c>
      <c r="D11" s="32" t="n">
        <f aca="false">SUM(D6:D10)</f>
        <v>206</v>
      </c>
    </row>
    <row r="14" customFormat="false" ht="15" hidden="false" customHeight="false" outlineLevel="0" collapsed="false">
      <c r="A14" s="22" t="s">
        <v>321</v>
      </c>
    </row>
    <row r="15" customFormat="false" ht="21.75" hidden="false" customHeight="true" outlineLevel="0" collapsed="false">
      <c r="A15" s="23"/>
      <c r="B15" s="24" t="s">
        <v>121</v>
      </c>
      <c r="C15" s="24" t="s">
        <v>260</v>
      </c>
      <c r="D15" s="25" t="s">
        <v>320</v>
      </c>
    </row>
    <row r="16" customFormat="false" ht="15" hidden="false" customHeight="false" outlineLevel="0" collapsed="false">
      <c r="A16" s="26" t="s">
        <v>79</v>
      </c>
      <c r="B16" s="27" t="n">
        <f aca="false">COUNTIFS(Backlog!$F$2:$F$37,"SP-14",Backlog!$B$2:$B$37,"Backend")</f>
        <v>7</v>
      </c>
      <c r="C16" s="27" t="n">
        <f aca="false">COUNTIFS(Backlog!$F$2:$F$37,"SP-14",Backlog!$B$2:$B$37,"Frontend")</f>
        <v>4</v>
      </c>
      <c r="D16" s="28" t="n">
        <f aca="false">SUM(B16:C16)</f>
        <v>11</v>
      </c>
    </row>
    <row r="17" customFormat="false" ht="15" hidden="false" customHeight="false" outlineLevel="0" collapsed="false">
      <c r="A17" s="29" t="s">
        <v>86</v>
      </c>
      <c r="B17" s="30" t="n">
        <f aca="false">COUNTIFS(Backlog!$F$2:$F$37,"SP-15",Backlog!$B$2:$B$37,"Backend")</f>
        <v>5</v>
      </c>
      <c r="C17" s="30" t="n">
        <f aca="false">COUNTIFS(Backlog!$F$2:$F$37,"SP-15",Backlog!$B$2:$B$37,"Frontend")</f>
        <v>4</v>
      </c>
      <c r="D17" s="31" t="n">
        <f aca="false">SUM(B17:C17)</f>
        <v>9</v>
      </c>
    </row>
    <row r="18" customFormat="false" ht="15" hidden="false" customHeight="false" outlineLevel="0" collapsed="false">
      <c r="A18" s="26" t="s">
        <v>94</v>
      </c>
      <c r="B18" s="27" t="n">
        <f aca="false">COUNTIFS(Backlog!$F$2:$F$37,"SP-16",Backlog!$B$2:$B$37,"Backend")</f>
        <v>6</v>
      </c>
      <c r="C18" s="27" t="n">
        <f aca="false">COUNTIFS(Backlog!$F$2:$F$37,"SP-16",Backlog!$B$2:$B$37,"Frontend")</f>
        <v>2</v>
      </c>
      <c r="D18" s="28" t="n">
        <f aca="false">SUM(B18:C18)</f>
        <v>8</v>
      </c>
    </row>
    <row r="19" customFormat="false" ht="15" hidden="false" customHeight="false" outlineLevel="0" collapsed="false">
      <c r="A19" s="29" t="s">
        <v>98</v>
      </c>
      <c r="B19" s="30" t="n">
        <f aca="false">COUNTIFS(Backlog!$F$2:$F$37,"SP-17",Backlog!$B$2:$B$37,"Backend")</f>
        <v>5</v>
      </c>
      <c r="C19" s="30" t="n">
        <f aca="false">COUNTIFS(Backlog!$F$2:$F$37,"SP-17",Backlog!$B$2:$B$37,"Frontend")</f>
        <v>2</v>
      </c>
      <c r="D19" s="31" t="n">
        <f aca="false">SUM(B19:C19)</f>
        <v>7</v>
      </c>
    </row>
    <row r="20" customFormat="false" ht="15" hidden="false" customHeight="false" outlineLevel="0" collapsed="false">
      <c r="A20" s="26" t="s">
        <v>256</v>
      </c>
      <c r="B20" s="27" t="n">
        <f aca="false">COUNTIFS(Backlog!$F$2:$F$37,"SP-18",Backlog!$B$2:$B$37,"Backend")</f>
        <v>1</v>
      </c>
      <c r="C20" s="27" t="n">
        <f aca="false">COUNTIFS(Backlog!$F$2:$F$37,"SP-18",Backlog!$B$2:$B$37,"Frontend")</f>
        <v>0</v>
      </c>
      <c r="D20" s="28" t="n">
        <f aca="false">SUM(B20:C20)</f>
        <v>1</v>
      </c>
    </row>
    <row r="21" customFormat="false" ht="15" hidden="false" customHeight="false" outlineLevel="0" collapsed="false">
      <c r="A21" s="9" t="s">
        <v>320</v>
      </c>
      <c r="B21" s="32" t="n">
        <f aca="false">SUM(B16:B20)</f>
        <v>24</v>
      </c>
      <c r="C21" s="32" t="n">
        <f aca="false">SUM(C16:C20)</f>
        <v>12</v>
      </c>
      <c r="D21" s="32" t="n">
        <f aca="false">SUM(D16:D20)</f>
        <v>36</v>
      </c>
    </row>
    <row r="24" customFormat="false" ht="15" hidden="false" customHeight="false" outlineLevel="0" collapsed="false">
      <c r="A24" s="22" t="s">
        <v>322</v>
      </c>
    </row>
    <row r="25" customFormat="false" ht="21.75" hidden="false" customHeight="true" outlineLevel="0" collapsed="false">
      <c r="A25" s="23"/>
      <c r="B25" s="24" t="s">
        <v>281</v>
      </c>
      <c r="C25" s="24" t="s">
        <v>122</v>
      </c>
      <c r="D25" s="24" t="s">
        <v>84</v>
      </c>
      <c r="E25" s="24" t="s">
        <v>151</v>
      </c>
      <c r="F25" s="24" t="s">
        <v>299</v>
      </c>
      <c r="G25" s="24" t="s">
        <v>219</v>
      </c>
      <c r="H25" s="24" t="s">
        <v>271</v>
      </c>
      <c r="I25" s="24" t="s">
        <v>88</v>
      </c>
      <c r="J25" s="24" t="s">
        <v>261</v>
      </c>
      <c r="K25" s="24" t="s">
        <v>201</v>
      </c>
      <c r="L25" s="25" t="s">
        <v>320</v>
      </c>
    </row>
    <row r="26" customFormat="false" ht="15" hidden="false" customHeight="false" outlineLevel="0" collapsed="false">
      <c r="A26" s="26" t="s">
        <v>79</v>
      </c>
      <c r="B26" s="27" t="n">
        <f aca="false">SUMIFS(Backlog!$L$2:$L$37,Backlog!$F$2:$F$37,"SP-14",Backlog!$C$2:$C$37,"Channel dashboard")</f>
        <v>13</v>
      </c>
      <c r="C26" s="27" t="n">
        <f aca="false">SUMIFS(Backlog!$L$2:$L$37,Backlog!$F$2:$F$37,"SP-14",Backlog!$C$2:$C$37,"Content")</f>
        <v>19</v>
      </c>
      <c r="D26" s="27" t="n">
        <f aca="false">SUMIFS(Backlog!$L$2:$L$37,Backlog!$F$2:$F$37,"SP-14",Backlog!$C$2:$C$37,"Loyalty")</f>
        <v>0</v>
      </c>
      <c r="E26" s="27" t="n">
        <f aca="false">SUMIFS(Backlog!$L$2:$L$37,Backlog!$F$2:$F$37,"SP-14",Backlog!$C$2:$C$37,"Notification")</f>
        <v>15</v>
      </c>
      <c r="F26" s="27" t="n">
        <f aca="false">SUMIFS(Backlog!$L$2:$L$37,Backlog!$F$2:$F$37,"SP-14",Backlog!$C$2:$C$37,"Platform admin")</f>
        <v>0</v>
      </c>
      <c r="G26" s="27" t="n">
        <f aca="false">SUMIFS(Backlog!$L$2:$L$37,Backlog!$F$2:$F$37,"SP-14",Backlog!$C$2:$C$37,"PlatformBilling")</f>
        <v>0</v>
      </c>
      <c r="H26" s="27" t="n">
        <f aca="false">SUMIFS(Backlog!$L$2:$L$37,Backlog!$F$2:$F$37,"SP-14",Backlog!$C$2:$C$37,"Rep app")</f>
        <v>5</v>
      </c>
      <c r="I26" s="27" t="n">
        <f aca="false">SUMIFS(Backlog!$L$2:$L$37,Backlog!$F$2:$F$37,"SP-14",Backlog!$C$2:$C$37,"Reporting")</f>
        <v>0</v>
      </c>
      <c r="J26" s="27" t="n">
        <f aca="false">SUMIFS(Backlog!$L$2:$L$37,Backlog!$F$2:$F$37,"SP-14",Backlog!$C$2:$C$37,"Retailer app")</f>
        <v>5</v>
      </c>
      <c r="K26" s="27" t="n">
        <f aca="false">SUMIFS(Backlog!$L$2:$L$37,Backlog!$F$2:$F$37,"SP-14",Backlog!$C$2:$C$37,"Support")</f>
        <v>0</v>
      </c>
      <c r="L26" s="28" t="n">
        <f aca="false">SUM(B26:K26)</f>
        <v>57</v>
      </c>
    </row>
    <row r="27" customFormat="false" ht="15" hidden="false" customHeight="false" outlineLevel="0" collapsed="false">
      <c r="A27" s="29" t="s">
        <v>86</v>
      </c>
      <c r="B27" s="30" t="n">
        <f aca="false">SUMIFS(Backlog!$L$2:$L$37,Backlog!$F$2:$F$37,"SP-15",Backlog!$C$2:$C$37,"Channel dashboard")</f>
        <v>11</v>
      </c>
      <c r="C27" s="30" t="n">
        <f aca="false">SUMIFS(Backlog!$L$2:$L$37,Backlog!$F$2:$F$37,"SP-15",Backlog!$C$2:$C$37,"Content")</f>
        <v>0</v>
      </c>
      <c r="D27" s="30" t="n">
        <f aca="false">SUMIFS(Backlog!$L$2:$L$37,Backlog!$F$2:$F$37,"SP-15",Backlog!$C$2:$C$37,"Loyalty")</f>
        <v>10</v>
      </c>
      <c r="E27" s="30" t="n">
        <f aca="false">SUMIFS(Backlog!$L$2:$L$37,Backlog!$F$2:$F$37,"SP-15",Backlog!$C$2:$C$37,"Notification")</f>
        <v>0</v>
      </c>
      <c r="F27" s="30" t="n">
        <f aca="false">SUMIFS(Backlog!$L$2:$L$37,Backlog!$F$2:$F$37,"SP-15",Backlog!$C$2:$C$37,"Platform admin")</f>
        <v>0</v>
      </c>
      <c r="G27" s="30" t="n">
        <f aca="false">SUMIFS(Backlog!$L$2:$L$37,Backlog!$F$2:$F$37,"SP-15",Backlog!$C$2:$C$37,"PlatformBilling")</f>
        <v>0</v>
      </c>
      <c r="H27" s="30" t="n">
        <f aca="false">SUMIFS(Backlog!$L$2:$L$37,Backlog!$F$2:$F$37,"SP-15",Backlog!$C$2:$C$37,"Rep app")</f>
        <v>3</v>
      </c>
      <c r="I27" s="30" t="n">
        <f aca="false">SUMIFS(Backlog!$L$2:$L$37,Backlog!$F$2:$F$37,"SP-15",Backlog!$C$2:$C$37,"Reporting")</f>
        <v>21</v>
      </c>
      <c r="J27" s="30" t="n">
        <f aca="false">SUMIFS(Backlog!$L$2:$L$37,Backlog!$F$2:$F$37,"SP-15",Backlog!$C$2:$C$37,"Retailer app")</f>
        <v>5</v>
      </c>
      <c r="K27" s="30" t="n">
        <f aca="false">SUMIFS(Backlog!$L$2:$L$37,Backlog!$F$2:$F$37,"SP-15",Backlog!$C$2:$C$37,"Support")</f>
        <v>0</v>
      </c>
      <c r="L27" s="31" t="n">
        <f aca="false">SUM(B27:K27)</f>
        <v>50</v>
      </c>
    </row>
    <row r="28" customFormat="false" ht="15" hidden="false" customHeight="false" outlineLevel="0" collapsed="false">
      <c r="A28" s="26" t="s">
        <v>94</v>
      </c>
      <c r="B28" s="27" t="n">
        <f aca="false">SUMIFS(Backlog!$L$2:$L$37,Backlog!$F$2:$F$37,"SP-16",Backlog!$C$2:$C$37,"Channel dashboard")</f>
        <v>0</v>
      </c>
      <c r="C28" s="27" t="n">
        <f aca="false">SUMIFS(Backlog!$L$2:$L$37,Backlog!$F$2:$F$37,"SP-16",Backlog!$C$2:$C$37,"Content")</f>
        <v>0</v>
      </c>
      <c r="D28" s="27" t="n">
        <f aca="false">SUMIFS(Backlog!$L$2:$L$37,Backlog!$F$2:$F$37,"SP-16",Backlog!$C$2:$C$37,"Loyalty")</f>
        <v>0</v>
      </c>
      <c r="E28" s="27" t="n">
        <f aca="false">SUMIFS(Backlog!$L$2:$L$37,Backlog!$F$2:$F$37,"SP-16",Backlog!$C$2:$C$37,"Notification")</f>
        <v>0</v>
      </c>
      <c r="F28" s="27" t="n">
        <f aca="false">SUMIFS(Backlog!$L$2:$L$37,Backlog!$F$2:$F$37,"SP-16",Backlog!$C$2:$C$37,"Platform admin")</f>
        <v>13</v>
      </c>
      <c r="G28" s="27" t="n">
        <f aca="false">SUMIFS(Backlog!$L$2:$L$37,Backlog!$F$2:$F$37,"SP-16",Backlog!$C$2:$C$37,"PlatformBilling")</f>
        <v>0</v>
      </c>
      <c r="H28" s="27" t="n">
        <f aca="false">SUMIFS(Backlog!$L$2:$L$37,Backlog!$F$2:$F$37,"SP-16",Backlog!$C$2:$C$37,"Rep app")</f>
        <v>0</v>
      </c>
      <c r="I28" s="27" t="n">
        <f aca="false">SUMIFS(Backlog!$L$2:$L$37,Backlog!$F$2:$F$37,"SP-16",Backlog!$C$2:$C$37,"Reporting")</f>
        <v>5</v>
      </c>
      <c r="J28" s="27" t="n">
        <f aca="false">SUMIFS(Backlog!$L$2:$L$37,Backlog!$F$2:$F$37,"SP-16",Backlog!$C$2:$C$37,"Retailer app")</f>
        <v>0</v>
      </c>
      <c r="K28" s="27" t="n">
        <f aca="false">SUMIFS(Backlog!$L$2:$L$37,Backlog!$F$2:$F$37,"SP-16",Backlog!$C$2:$C$37,"Support")</f>
        <v>13</v>
      </c>
      <c r="L28" s="28" t="n">
        <f aca="false">SUM(B28:K28)</f>
        <v>31</v>
      </c>
    </row>
    <row r="29" customFormat="false" ht="15" hidden="false" customHeight="false" outlineLevel="0" collapsed="false">
      <c r="A29" s="29" t="s">
        <v>98</v>
      </c>
      <c r="B29" s="30" t="n">
        <f aca="false">SUMIFS(Backlog!$L$2:$L$37,Backlog!$F$2:$F$37,"SP-17",Backlog!$C$2:$C$37,"Channel dashboard")</f>
        <v>0</v>
      </c>
      <c r="C29" s="30" t="n">
        <f aca="false">SUMIFS(Backlog!$L$2:$L$37,Backlog!$F$2:$F$37,"SP-17",Backlog!$C$2:$C$37,"Content")</f>
        <v>0</v>
      </c>
      <c r="D29" s="30" t="n">
        <f aca="false">SUMIFS(Backlog!$L$2:$L$37,Backlog!$F$2:$F$37,"SP-17",Backlog!$C$2:$C$37,"Loyalty")</f>
        <v>0</v>
      </c>
      <c r="E29" s="30" t="n">
        <f aca="false">SUMIFS(Backlog!$L$2:$L$37,Backlog!$F$2:$F$37,"SP-17",Backlog!$C$2:$C$37,"Notification")</f>
        <v>0</v>
      </c>
      <c r="F29" s="30" t="n">
        <f aca="false">SUMIFS(Backlog!$L$2:$L$37,Backlog!$F$2:$F$37,"SP-17",Backlog!$C$2:$C$37,"Platform admin")</f>
        <v>5</v>
      </c>
      <c r="G29" s="30" t="n">
        <f aca="false">SUMIFS(Backlog!$L$2:$L$37,Backlog!$F$2:$F$37,"SP-17",Backlog!$C$2:$C$37,"PlatformBilling")</f>
        <v>18</v>
      </c>
      <c r="H29" s="30" t="n">
        <f aca="false">SUMIFS(Backlog!$L$2:$L$37,Backlog!$F$2:$F$37,"SP-17",Backlog!$C$2:$C$37,"Rep app")</f>
        <v>0</v>
      </c>
      <c r="I29" s="30" t="n">
        <f aca="false">SUMIFS(Backlog!$L$2:$L$37,Backlog!$F$2:$F$37,"SP-17",Backlog!$C$2:$C$37,"Reporting")</f>
        <v>0</v>
      </c>
      <c r="J29" s="30" t="n">
        <f aca="false">SUMIFS(Backlog!$L$2:$L$37,Backlog!$F$2:$F$37,"SP-17",Backlog!$C$2:$C$37,"Retailer app")</f>
        <v>0</v>
      </c>
      <c r="K29" s="30" t="n">
        <f aca="false">SUMIFS(Backlog!$L$2:$L$37,Backlog!$F$2:$F$37,"SP-17",Backlog!$C$2:$C$37,"Support")</f>
        <v>0</v>
      </c>
      <c r="L29" s="31" t="n">
        <f aca="false">SUM(B29:K29)</f>
        <v>23</v>
      </c>
    </row>
    <row r="30" customFormat="false" ht="15" hidden="false" customHeight="false" outlineLevel="0" collapsed="false">
      <c r="A30" s="26" t="s">
        <v>256</v>
      </c>
      <c r="B30" s="27" t="n">
        <f aca="false">SUMIFS(Backlog!$L$2:$L$37,Backlog!$F$2:$F$37,"SP-18",Backlog!$C$2:$C$37,"Channel dashboard")</f>
        <v>0</v>
      </c>
      <c r="C30" s="27" t="n">
        <f aca="false">SUMIFS(Backlog!$L$2:$L$37,Backlog!$F$2:$F$37,"SP-18",Backlog!$C$2:$C$37,"Content")</f>
        <v>0</v>
      </c>
      <c r="D30" s="27" t="n">
        <f aca="false">SUMIFS(Backlog!$L$2:$L$37,Backlog!$F$2:$F$37,"SP-18",Backlog!$C$2:$C$37,"Loyalty")</f>
        <v>0</v>
      </c>
      <c r="E30" s="27" t="n">
        <f aca="false">SUMIFS(Backlog!$L$2:$L$37,Backlog!$F$2:$F$37,"SP-18",Backlog!$C$2:$C$37,"Notification")</f>
        <v>0</v>
      </c>
      <c r="F30" s="27" t="n">
        <f aca="false">SUMIFS(Backlog!$L$2:$L$37,Backlog!$F$2:$F$37,"SP-18",Backlog!$C$2:$C$37,"Platform admin")</f>
        <v>0</v>
      </c>
      <c r="G30" s="27" t="n">
        <f aca="false">SUMIFS(Backlog!$L$2:$L$37,Backlog!$F$2:$F$37,"SP-18",Backlog!$C$2:$C$37,"PlatformBilling")</f>
        <v>0</v>
      </c>
      <c r="H30" s="27" t="n">
        <f aca="false">SUMIFS(Backlog!$L$2:$L$37,Backlog!$F$2:$F$37,"SP-18",Backlog!$C$2:$C$37,"Rep app")</f>
        <v>0</v>
      </c>
      <c r="I30" s="27" t="n">
        <f aca="false">SUMIFS(Backlog!$L$2:$L$37,Backlog!$F$2:$F$37,"SP-18",Backlog!$C$2:$C$37,"Reporting")</f>
        <v>0</v>
      </c>
      <c r="J30" s="27" t="n">
        <f aca="false">SUMIFS(Backlog!$L$2:$L$37,Backlog!$F$2:$F$37,"SP-18",Backlog!$C$2:$C$37,"Retailer app")</f>
        <v>0</v>
      </c>
      <c r="K30" s="27" t="n">
        <f aca="false">SUMIFS(Backlog!$L$2:$L$37,Backlog!$F$2:$F$37,"SP-18",Backlog!$C$2:$C$37,"Support")</f>
        <v>0</v>
      </c>
      <c r="L30" s="28" t="n">
        <f aca="false">SUM(B30:K30)</f>
        <v>0</v>
      </c>
    </row>
    <row r="31" customFormat="false" ht="15" hidden="false" customHeight="false" outlineLevel="0" collapsed="false">
      <c r="A31" s="9" t="s">
        <v>320</v>
      </c>
      <c r="B31" s="32" t="n">
        <f aca="false">SUM(B26:B30)</f>
        <v>24</v>
      </c>
      <c r="C31" s="32" t="n">
        <f aca="false">SUM(C26:C30)</f>
        <v>19</v>
      </c>
      <c r="D31" s="32" t="n">
        <f aca="false">SUM(D26:D30)</f>
        <v>10</v>
      </c>
      <c r="E31" s="32" t="n">
        <f aca="false">SUM(E26:E30)</f>
        <v>15</v>
      </c>
      <c r="F31" s="32" t="n">
        <f aca="false">SUM(F26:F30)</f>
        <v>18</v>
      </c>
      <c r="G31" s="32" t="n">
        <f aca="false">SUM(G26:G30)</f>
        <v>18</v>
      </c>
      <c r="H31" s="32" t="n">
        <f aca="false">SUM(H26:H30)</f>
        <v>8</v>
      </c>
      <c r="I31" s="32" t="n">
        <f aca="false">SUM(I26:I30)</f>
        <v>26</v>
      </c>
      <c r="J31" s="32" t="n">
        <f aca="false">SUM(J26:J30)</f>
        <v>10</v>
      </c>
      <c r="K31" s="32" t="n">
        <f aca="false">SUM(K26:K30)</f>
        <v>13</v>
      </c>
      <c r="L31" s="32" t="n">
        <f aca="false">SUM(L26:L30)</f>
        <v>161</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4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5" min="3" style="0" width="12"/>
    <col collapsed="false" customWidth="true" hidden="false" outlineLevel="0" max="6" min="6" style="0" width="42"/>
    <col collapsed="false" customWidth="true" hidden="false" outlineLevel="0" max="7" min="7" style="0" width="12"/>
    <col collapsed="false" customWidth="true" hidden="false" outlineLevel="0" max="8" min="8" style="0" width="16"/>
  </cols>
  <sheetData>
    <row r="1" customFormat="false" ht="30" hidden="false" customHeight="true" outlineLevel="0" collapsed="false">
      <c r="A1" s="10" t="s">
        <v>323</v>
      </c>
      <c r="B1" s="10" t="s">
        <v>324</v>
      </c>
      <c r="C1" s="10" t="s">
        <v>325</v>
      </c>
      <c r="D1" s="10" t="s">
        <v>326</v>
      </c>
      <c r="E1" s="10" t="s">
        <v>327</v>
      </c>
      <c r="F1" s="10" t="s">
        <v>328</v>
      </c>
      <c r="G1" s="10" t="s">
        <v>329</v>
      </c>
      <c r="H1" s="10" t="s">
        <v>330</v>
      </c>
    </row>
    <row r="2" customFormat="false" ht="17.25" hidden="false" customHeight="true" outlineLevel="0" collapsed="false">
      <c r="A2" s="11" t="s">
        <v>234</v>
      </c>
      <c r="B2" s="12" t="s">
        <v>331</v>
      </c>
      <c r="C2" s="13" t="s">
        <v>332</v>
      </c>
      <c r="D2" s="13" t="s">
        <v>333</v>
      </c>
      <c r="E2" s="12" t="s">
        <v>230</v>
      </c>
      <c r="F2" s="12" t="s">
        <v>231</v>
      </c>
      <c r="G2" s="13" t="s">
        <v>98</v>
      </c>
      <c r="H2" s="18" t="s">
        <v>334</v>
      </c>
    </row>
    <row r="3" customFormat="false" ht="17.25" hidden="false" customHeight="true" outlineLevel="0" collapsed="false">
      <c r="A3" s="14" t="s">
        <v>206</v>
      </c>
      <c r="B3" s="15" t="s">
        <v>335</v>
      </c>
      <c r="C3" s="16" t="s">
        <v>332</v>
      </c>
      <c r="D3" s="16" t="s">
        <v>333</v>
      </c>
      <c r="E3" s="15" t="s">
        <v>200</v>
      </c>
      <c r="F3" s="15" t="s">
        <v>202</v>
      </c>
      <c r="G3" s="16" t="s">
        <v>94</v>
      </c>
      <c r="H3" s="18" t="s">
        <v>334</v>
      </c>
    </row>
    <row r="4" customFormat="false" ht="17.25" hidden="false" customHeight="true" outlineLevel="0" collapsed="false">
      <c r="A4" s="11" t="s">
        <v>149</v>
      </c>
      <c r="B4" s="12" t="s">
        <v>336</v>
      </c>
      <c r="C4" s="13" t="s">
        <v>332</v>
      </c>
      <c r="D4" s="13" t="s">
        <v>337</v>
      </c>
      <c r="E4" s="12" t="s">
        <v>144</v>
      </c>
      <c r="F4" s="12" t="s">
        <v>145</v>
      </c>
      <c r="G4" s="13" t="s">
        <v>79</v>
      </c>
      <c r="H4" s="18" t="s">
        <v>334</v>
      </c>
    </row>
    <row r="5" customFormat="false" ht="17.25" hidden="false" customHeight="true" outlineLevel="0" collapsed="false">
      <c r="A5" s="14" t="s">
        <v>338</v>
      </c>
      <c r="B5" s="15" t="s">
        <v>339</v>
      </c>
      <c r="C5" s="16" t="s">
        <v>332</v>
      </c>
      <c r="D5" s="16" t="s">
        <v>337</v>
      </c>
      <c r="E5" s="15" t="s">
        <v>207</v>
      </c>
      <c r="F5" s="15" t="s">
        <v>208</v>
      </c>
      <c r="G5" s="16" t="s">
        <v>94</v>
      </c>
      <c r="H5" s="18" t="s">
        <v>334</v>
      </c>
    </row>
    <row r="6" customFormat="false" ht="17.25" hidden="false" customHeight="true" outlineLevel="0" collapsed="false">
      <c r="A6" s="11" t="s">
        <v>340</v>
      </c>
      <c r="B6" s="12" t="s">
        <v>341</v>
      </c>
      <c r="C6" s="13" t="s">
        <v>332</v>
      </c>
      <c r="D6" s="13" t="s">
        <v>337</v>
      </c>
      <c r="E6" s="12" t="s">
        <v>207</v>
      </c>
      <c r="F6" s="12" t="s">
        <v>208</v>
      </c>
      <c r="G6" s="13" t="s">
        <v>94</v>
      </c>
      <c r="H6" s="18" t="s">
        <v>334</v>
      </c>
    </row>
    <row r="7" customFormat="false" ht="17.25" hidden="false" customHeight="true" outlineLevel="0" collapsed="false">
      <c r="A7" s="14" t="s">
        <v>342</v>
      </c>
      <c r="B7" s="15" t="s">
        <v>343</v>
      </c>
      <c r="C7" s="16" t="s">
        <v>332</v>
      </c>
      <c r="D7" s="16" t="s">
        <v>337</v>
      </c>
      <c r="E7" s="15" t="s">
        <v>213</v>
      </c>
      <c r="F7" s="15" t="s">
        <v>214</v>
      </c>
      <c r="G7" s="16" t="s">
        <v>94</v>
      </c>
      <c r="H7" s="18" t="s">
        <v>334</v>
      </c>
    </row>
    <row r="8" customFormat="false" ht="17.25" hidden="false" customHeight="true" outlineLevel="0" collapsed="false">
      <c r="A8" s="11" t="s">
        <v>344</v>
      </c>
      <c r="B8" s="12" t="s">
        <v>345</v>
      </c>
      <c r="C8" s="13" t="s">
        <v>332</v>
      </c>
      <c r="D8" s="13" t="s">
        <v>333</v>
      </c>
      <c r="E8" s="12" t="s">
        <v>240</v>
      </c>
      <c r="F8" s="12" t="s">
        <v>241</v>
      </c>
      <c r="G8" s="13" t="s">
        <v>94</v>
      </c>
      <c r="H8" s="18" t="s">
        <v>334</v>
      </c>
    </row>
    <row r="9" customFormat="false" ht="28.5" hidden="false" customHeight="true" outlineLevel="0" collapsed="false">
      <c r="A9" s="14" t="s">
        <v>156</v>
      </c>
      <c r="B9" s="15" t="s">
        <v>346</v>
      </c>
      <c r="C9" s="16" t="s">
        <v>332</v>
      </c>
      <c r="D9" s="16" t="s">
        <v>347</v>
      </c>
      <c r="E9" s="15" t="s">
        <v>150</v>
      </c>
      <c r="F9" s="15" t="s">
        <v>152</v>
      </c>
      <c r="G9" s="16" t="s">
        <v>79</v>
      </c>
      <c r="H9" s="18" t="s">
        <v>334</v>
      </c>
    </row>
    <row r="10" customFormat="false" ht="17.25" hidden="false" customHeight="true" outlineLevel="0" collapsed="false">
      <c r="A10" s="11" t="s">
        <v>348</v>
      </c>
      <c r="B10" s="12" t="s">
        <v>349</v>
      </c>
      <c r="C10" s="13" t="s">
        <v>332</v>
      </c>
      <c r="D10" s="13" t="s">
        <v>347</v>
      </c>
      <c r="E10" s="12" t="s">
        <v>240</v>
      </c>
      <c r="F10" s="12" t="s">
        <v>241</v>
      </c>
      <c r="G10" s="13" t="s">
        <v>94</v>
      </c>
      <c r="H10" s="18" t="s">
        <v>334</v>
      </c>
    </row>
    <row r="11" customFormat="false" ht="17.25" hidden="false" customHeight="true" outlineLevel="0" collapsed="false">
      <c r="A11" s="14" t="s">
        <v>130</v>
      </c>
      <c r="B11" s="15" t="s">
        <v>350</v>
      </c>
      <c r="C11" s="16" t="s">
        <v>332</v>
      </c>
      <c r="D11" s="16" t="s">
        <v>347</v>
      </c>
      <c r="E11" s="15" t="s">
        <v>120</v>
      </c>
      <c r="F11" s="15" t="s">
        <v>123</v>
      </c>
      <c r="G11" s="16" t="s">
        <v>79</v>
      </c>
      <c r="H11" s="18" t="s">
        <v>334</v>
      </c>
    </row>
    <row r="12" customFormat="false" ht="17.25" hidden="false" customHeight="true" outlineLevel="0" collapsed="false">
      <c r="A12" s="11" t="s">
        <v>224</v>
      </c>
      <c r="B12" s="12" t="s">
        <v>351</v>
      </c>
      <c r="C12" s="13" t="s">
        <v>332</v>
      </c>
      <c r="D12" s="13" t="s">
        <v>347</v>
      </c>
      <c r="E12" s="12" t="s">
        <v>218</v>
      </c>
      <c r="F12" s="12" t="s">
        <v>220</v>
      </c>
      <c r="G12" s="13" t="s">
        <v>98</v>
      </c>
      <c r="H12" s="18" t="s">
        <v>334</v>
      </c>
    </row>
    <row r="13" customFormat="false" ht="17.25" hidden="false" customHeight="true" outlineLevel="0" collapsed="false">
      <c r="A13" s="14" t="s">
        <v>352</v>
      </c>
      <c r="B13" s="15" t="s">
        <v>353</v>
      </c>
      <c r="C13" s="16" t="s">
        <v>332</v>
      </c>
      <c r="D13" s="16" t="s">
        <v>347</v>
      </c>
      <c r="E13" s="15" t="s">
        <v>194</v>
      </c>
      <c r="F13" s="15" t="s">
        <v>195</v>
      </c>
      <c r="G13" s="16" t="s">
        <v>94</v>
      </c>
      <c r="H13" s="18" t="s">
        <v>334</v>
      </c>
    </row>
    <row r="14" customFormat="false" ht="17.25" hidden="false" customHeight="true" outlineLevel="0" collapsed="false">
      <c r="A14" s="11" t="s">
        <v>354</v>
      </c>
      <c r="B14" s="12" t="s">
        <v>355</v>
      </c>
      <c r="C14" s="13" t="s">
        <v>332</v>
      </c>
      <c r="D14" s="13" t="s">
        <v>356</v>
      </c>
      <c r="E14" s="12" t="s">
        <v>163</v>
      </c>
      <c r="F14" s="12" t="s">
        <v>164</v>
      </c>
      <c r="G14" s="13" t="s">
        <v>79</v>
      </c>
      <c r="H14" s="18" t="s">
        <v>334</v>
      </c>
    </row>
    <row r="15" customFormat="false" ht="17.25" hidden="false" customHeight="true" outlineLevel="0" collapsed="false">
      <c r="A15" s="14" t="s">
        <v>357</v>
      </c>
      <c r="B15" s="15" t="s">
        <v>358</v>
      </c>
      <c r="C15" s="16" t="s">
        <v>332</v>
      </c>
      <c r="D15" s="16" t="s">
        <v>356</v>
      </c>
      <c r="E15" s="15" t="s">
        <v>213</v>
      </c>
      <c r="F15" s="15" t="s">
        <v>214</v>
      </c>
      <c r="G15" s="16" t="s">
        <v>94</v>
      </c>
      <c r="H15" s="18" t="s">
        <v>334</v>
      </c>
    </row>
    <row r="16" customFormat="false" ht="17.25" hidden="false" customHeight="true" outlineLevel="0" collapsed="false">
      <c r="A16" s="11" t="s">
        <v>359</v>
      </c>
      <c r="B16" s="12" t="s">
        <v>360</v>
      </c>
      <c r="C16" s="13" t="s">
        <v>361</v>
      </c>
      <c r="D16" s="13" t="s">
        <v>362</v>
      </c>
      <c r="E16" s="12" t="s">
        <v>138</v>
      </c>
      <c r="F16" s="12" t="s">
        <v>139</v>
      </c>
      <c r="G16" s="13" t="s">
        <v>79</v>
      </c>
      <c r="H16" s="18" t="s">
        <v>334</v>
      </c>
    </row>
    <row r="17" customFormat="false" ht="17.25" hidden="false" customHeight="true" outlineLevel="0" collapsed="false">
      <c r="A17" s="14" t="s">
        <v>363</v>
      </c>
      <c r="B17" s="15" t="s">
        <v>364</v>
      </c>
      <c r="C17" s="16" t="s">
        <v>361</v>
      </c>
      <c r="D17" s="16" t="s">
        <v>365</v>
      </c>
      <c r="E17" s="15" t="s">
        <v>157</v>
      </c>
      <c r="F17" s="15" t="s">
        <v>158</v>
      </c>
      <c r="G17" s="16" t="s">
        <v>79</v>
      </c>
      <c r="H17" s="18" t="s">
        <v>334</v>
      </c>
    </row>
    <row r="18" customFormat="false" ht="17.25" hidden="false" customHeight="true" outlineLevel="0" collapsed="false">
      <c r="A18" s="11" t="s">
        <v>185</v>
      </c>
      <c r="B18" s="12" t="s">
        <v>366</v>
      </c>
      <c r="C18" s="13" t="s">
        <v>367</v>
      </c>
      <c r="D18" s="13" t="s">
        <v>368</v>
      </c>
      <c r="E18" s="12" t="s">
        <v>180</v>
      </c>
      <c r="F18" s="12" t="s">
        <v>181</v>
      </c>
      <c r="G18" s="13" t="s">
        <v>86</v>
      </c>
      <c r="H18" s="18" t="s">
        <v>334</v>
      </c>
    </row>
    <row r="19" customFormat="false" ht="17.25" hidden="false" customHeight="true" outlineLevel="0" collapsed="false">
      <c r="A19" s="14" t="s">
        <v>174</v>
      </c>
      <c r="B19" s="15" t="s">
        <v>369</v>
      </c>
      <c r="C19" s="16" t="s">
        <v>367</v>
      </c>
      <c r="D19" s="16" t="s">
        <v>368</v>
      </c>
      <c r="E19" s="15" t="s">
        <v>169</v>
      </c>
      <c r="F19" s="15" t="s">
        <v>170</v>
      </c>
      <c r="G19" s="16" t="s">
        <v>86</v>
      </c>
      <c r="H19" s="18" t="s">
        <v>334</v>
      </c>
    </row>
    <row r="20" customFormat="false" ht="17.25" hidden="false" customHeight="true" outlineLevel="0" collapsed="false">
      <c r="A20" s="11" t="s">
        <v>370</v>
      </c>
      <c r="B20" s="12" t="s">
        <v>371</v>
      </c>
      <c r="C20" s="13" t="s">
        <v>367</v>
      </c>
      <c r="D20" s="13" t="s">
        <v>368</v>
      </c>
      <c r="E20" s="12" t="s">
        <v>245</v>
      </c>
      <c r="F20" s="12" t="s">
        <v>246</v>
      </c>
      <c r="G20" s="13" t="s">
        <v>98</v>
      </c>
      <c r="H20" s="18" t="s">
        <v>334</v>
      </c>
    </row>
    <row r="21" customFormat="false" ht="17.25" hidden="false" customHeight="true" outlineLevel="0" collapsed="false">
      <c r="A21" s="14" t="s">
        <v>372</v>
      </c>
      <c r="B21" s="15" t="s">
        <v>373</v>
      </c>
      <c r="C21" s="16" t="s">
        <v>367</v>
      </c>
      <c r="D21" s="16" t="s">
        <v>374</v>
      </c>
      <c r="E21" s="15" t="s">
        <v>245</v>
      </c>
      <c r="F21" s="15" t="s">
        <v>246</v>
      </c>
      <c r="G21" s="16" t="s">
        <v>98</v>
      </c>
      <c r="H21" s="18" t="s">
        <v>334</v>
      </c>
    </row>
    <row r="22" customFormat="false" ht="17.25" hidden="false" customHeight="true" outlineLevel="0" collapsed="false">
      <c r="A22" s="11" t="s">
        <v>218</v>
      </c>
      <c r="B22" s="12" t="s">
        <v>220</v>
      </c>
      <c r="C22" s="13" t="s">
        <v>375</v>
      </c>
      <c r="D22" s="13" t="s">
        <v>98</v>
      </c>
      <c r="E22" s="12" t="s">
        <v>225</v>
      </c>
      <c r="F22" s="12" t="s">
        <v>226</v>
      </c>
      <c r="G22" s="13" t="s">
        <v>98</v>
      </c>
      <c r="H22" s="13" t="s">
        <v>376</v>
      </c>
    </row>
    <row r="23" customFormat="false" ht="17.25" hidden="false" customHeight="true" outlineLevel="0" collapsed="false">
      <c r="A23" s="14" t="s">
        <v>218</v>
      </c>
      <c r="B23" s="15" t="s">
        <v>220</v>
      </c>
      <c r="C23" s="16" t="s">
        <v>375</v>
      </c>
      <c r="D23" s="16" t="s">
        <v>98</v>
      </c>
      <c r="E23" s="15" t="s">
        <v>308</v>
      </c>
      <c r="F23" s="15" t="s">
        <v>309</v>
      </c>
      <c r="G23" s="16" t="s">
        <v>98</v>
      </c>
      <c r="H23" s="16" t="s">
        <v>376</v>
      </c>
    </row>
    <row r="24" customFormat="false" ht="17.25" hidden="false" customHeight="true" outlineLevel="0" collapsed="false">
      <c r="A24" s="11" t="s">
        <v>230</v>
      </c>
      <c r="B24" s="12" t="s">
        <v>231</v>
      </c>
      <c r="C24" s="13" t="s">
        <v>375</v>
      </c>
      <c r="D24" s="13" t="s">
        <v>98</v>
      </c>
      <c r="E24" s="12" t="s">
        <v>308</v>
      </c>
      <c r="F24" s="12" t="s">
        <v>309</v>
      </c>
      <c r="G24" s="13" t="s">
        <v>98</v>
      </c>
      <c r="H24" s="13" t="s">
        <v>376</v>
      </c>
    </row>
    <row r="25" customFormat="false" ht="17.25" hidden="false" customHeight="true" outlineLevel="0" collapsed="false">
      <c r="A25" s="14" t="s">
        <v>120</v>
      </c>
      <c r="B25" s="15" t="s">
        <v>123</v>
      </c>
      <c r="C25" s="16" t="s">
        <v>375</v>
      </c>
      <c r="D25" s="16" t="s">
        <v>79</v>
      </c>
      <c r="E25" s="15" t="s">
        <v>132</v>
      </c>
      <c r="F25" s="15" t="s">
        <v>133</v>
      </c>
      <c r="G25" s="16" t="s">
        <v>79</v>
      </c>
      <c r="H25" s="16" t="s">
        <v>376</v>
      </c>
    </row>
    <row r="26" customFormat="false" ht="17.25" hidden="false" customHeight="true" outlineLevel="0" collapsed="false">
      <c r="A26" s="11" t="s">
        <v>132</v>
      </c>
      <c r="B26" s="12" t="s">
        <v>133</v>
      </c>
      <c r="C26" s="13" t="s">
        <v>375</v>
      </c>
      <c r="D26" s="13" t="s">
        <v>79</v>
      </c>
      <c r="E26" s="12" t="s">
        <v>138</v>
      </c>
      <c r="F26" s="12" t="s">
        <v>139</v>
      </c>
      <c r="G26" s="13" t="s">
        <v>79</v>
      </c>
      <c r="H26" s="13" t="s">
        <v>376</v>
      </c>
    </row>
    <row r="27" customFormat="false" ht="17.25" hidden="false" customHeight="true" outlineLevel="0" collapsed="false">
      <c r="A27" s="14" t="s">
        <v>132</v>
      </c>
      <c r="B27" s="15" t="s">
        <v>133</v>
      </c>
      <c r="C27" s="16" t="s">
        <v>375</v>
      </c>
      <c r="D27" s="16" t="s">
        <v>79</v>
      </c>
      <c r="E27" s="15" t="s">
        <v>280</v>
      </c>
      <c r="F27" s="15" t="s">
        <v>282</v>
      </c>
      <c r="G27" s="16" t="s">
        <v>79</v>
      </c>
      <c r="H27" s="16" t="s">
        <v>376</v>
      </c>
    </row>
    <row r="28" customFormat="false" ht="17.25" hidden="false" customHeight="true" outlineLevel="0" collapsed="false">
      <c r="A28" s="11" t="s">
        <v>138</v>
      </c>
      <c r="B28" s="12" t="s">
        <v>139</v>
      </c>
      <c r="C28" s="13" t="s">
        <v>375</v>
      </c>
      <c r="D28" s="13" t="s">
        <v>79</v>
      </c>
      <c r="E28" s="12" t="s">
        <v>280</v>
      </c>
      <c r="F28" s="12" t="s">
        <v>282</v>
      </c>
      <c r="G28" s="13" t="s">
        <v>79</v>
      </c>
      <c r="H28" s="13" t="s">
        <v>376</v>
      </c>
    </row>
    <row r="29" customFormat="false" ht="17.25" hidden="false" customHeight="true" outlineLevel="0" collapsed="false">
      <c r="A29" s="14" t="s">
        <v>138</v>
      </c>
      <c r="B29" s="15" t="s">
        <v>139</v>
      </c>
      <c r="C29" s="16" t="s">
        <v>375</v>
      </c>
      <c r="D29" s="16" t="s">
        <v>79</v>
      </c>
      <c r="E29" s="15" t="s">
        <v>265</v>
      </c>
      <c r="F29" s="15" t="s">
        <v>266</v>
      </c>
      <c r="G29" s="16" t="s">
        <v>86</v>
      </c>
      <c r="H29" s="16" t="s">
        <v>376</v>
      </c>
    </row>
    <row r="30" customFormat="false" ht="17.25" hidden="false" customHeight="true" outlineLevel="0" collapsed="false">
      <c r="A30" s="11" t="s">
        <v>245</v>
      </c>
      <c r="B30" s="12" t="s">
        <v>246</v>
      </c>
      <c r="C30" s="13" t="s">
        <v>375</v>
      </c>
      <c r="D30" s="13" t="s">
        <v>98</v>
      </c>
      <c r="E30" s="12" t="s">
        <v>250</v>
      </c>
      <c r="F30" s="12" t="s">
        <v>251</v>
      </c>
      <c r="G30" s="13" t="s">
        <v>98</v>
      </c>
      <c r="H30" s="13" t="s">
        <v>376</v>
      </c>
    </row>
    <row r="31" customFormat="false" ht="17.25" hidden="false" customHeight="true" outlineLevel="0" collapsed="false">
      <c r="A31" s="14" t="s">
        <v>250</v>
      </c>
      <c r="B31" s="15" t="s">
        <v>251</v>
      </c>
      <c r="C31" s="16" t="s">
        <v>375</v>
      </c>
      <c r="D31" s="16" t="s">
        <v>98</v>
      </c>
      <c r="E31" s="15" t="s">
        <v>254</v>
      </c>
      <c r="F31" s="15" t="s">
        <v>255</v>
      </c>
      <c r="G31" s="16" t="s">
        <v>256</v>
      </c>
      <c r="H31" s="16" t="s">
        <v>376</v>
      </c>
    </row>
    <row r="32" customFormat="false" ht="17.25" hidden="false" customHeight="true" outlineLevel="0" collapsed="false">
      <c r="A32" s="11" t="s">
        <v>169</v>
      </c>
      <c r="B32" s="12" t="s">
        <v>170</v>
      </c>
      <c r="C32" s="13" t="s">
        <v>375</v>
      </c>
      <c r="D32" s="13" t="s">
        <v>86</v>
      </c>
      <c r="E32" s="12" t="s">
        <v>175</v>
      </c>
      <c r="F32" s="12" t="s">
        <v>176</v>
      </c>
      <c r="G32" s="13" t="s">
        <v>86</v>
      </c>
      <c r="H32" s="13" t="s">
        <v>376</v>
      </c>
    </row>
    <row r="33" customFormat="false" ht="17.25" hidden="false" customHeight="true" outlineLevel="0" collapsed="false">
      <c r="A33" s="14" t="s">
        <v>169</v>
      </c>
      <c r="B33" s="15" t="s">
        <v>170</v>
      </c>
      <c r="C33" s="16" t="s">
        <v>375</v>
      </c>
      <c r="D33" s="16" t="s">
        <v>86</v>
      </c>
      <c r="E33" s="15" t="s">
        <v>275</v>
      </c>
      <c r="F33" s="15" t="s">
        <v>276</v>
      </c>
      <c r="G33" s="16" t="s">
        <v>86</v>
      </c>
      <c r="H33" s="16" t="s">
        <v>376</v>
      </c>
    </row>
    <row r="34" customFormat="false" ht="17.25" hidden="false" customHeight="true" outlineLevel="0" collapsed="false">
      <c r="A34" s="11" t="s">
        <v>175</v>
      </c>
      <c r="B34" s="12" t="s">
        <v>176</v>
      </c>
      <c r="C34" s="13" t="s">
        <v>375</v>
      </c>
      <c r="D34" s="13" t="s">
        <v>86</v>
      </c>
      <c r="E34" s="12" t="s">
        <v>294</v>
      </c>
      <c r="F34" s="12" t="s">
        <v>295</v>
      </c>
      <c r="G34" s="13" t="s">
        <v>86</v>
      </c>
      <c r="H34" s="13" t="s">
        <v>376</v>
      </c>
    </row>
    <row r="35" customFormat="false" ht="17.25" hidden="false" customHeight="true" outlineLevel="0" collapsed="false">
      <c r="A35" s="14" t="s">
        <v>175</v>
      </c>
      <c r="B35" s="15" t="s">
        <v>176</v>
      </c>
      <c r="C35" s="16" t="s">
        <v>375</v>
      </c>
      <c r="D35" s="16" t="s">
        <v>86</v>
      </c>
      <c r="E35" s="15" t="s">
        <v>265</v>
      </c>
      <c r="F35" s="15" t="s">
        <v>266</v>
      </c>
      <c r="G35" s="16" t="s">
        <v>86</v>
      </c>
      <c r="H35" s="16" t="s">
        <v>376</v>
      </c>
    </row>
    <row r="36" customFormat="false" ht="17.25" hidden="false" customHeight="true" outlineLevel="0" collapsed="false">
      <c r="A36" s="11" t="s">
        <v>150</v>
      </c>
      <c r="B36" s="12" t="s">
        <v>152</v>
      </c>
      <c r="C36" s="13" t="s">
        <v>375</v>
      </c>
      <c r="D36" s="13" t="s">
        <v>79</v>
      </c>
      <c r="E36" s="12" t="s">
        <v>157</v>
      </c>
      <c r="F36" s="12" t="s">
        <v>158</v>
      </c>
      <c r="G36" s="13" t="s">
        <v>79</v>
      </c>
      <c r="H36" s="13" t="s">
        <v>376</v>
      </c>
    </row>
    <row r="37" customFormat="false" ht="17.25" hidden="false" customHeight="true" outlineLevel="0" collapsed="false">
      <c r="A37" s="14" t="s">
        <v>150</v>
      </c>
      <c r="B37" s="15" t="s">
        <v>152</v>
      </c>
      <c r="C37" s="16" t="s">
        <v>375</v>
      </c>
      <c r="D37" s="16" t="s">
        <v>79</v>
      </c>
      <c r="E37" s="15" t="s">
        <v>270</v>
      </c>
      <c r="F37" s="15" t="s">
        <v>272</v>
      </c>
      <c r="G37" s="16" t="s">
        <v>79</v>
      </c>
      <c r="H37" s="16" t="s">
        <v>376</v>
      </c>
    </row>
    <row r="38" customFormat="false" ht="28.5" hidden="false" customHeight="true" outlineLevel="0" collapsed="false">
      <c r="A38" s="11" t="s">
        <v>150</v>
      </c>
      <c r="B38" s="12" t="s">
        <v>152</v>
      </c>
      <c r="C38" s="13" t="s">
        <v>375</v>
      </c>
      <c r="D38" s="13" t="s">
        <v>79</v>
      </c>
      <c r="E38" s="12" t="s">
        <v>259</v>
      </c>
      <c r="F38" s="12" t="s">
        <v>262</v>
      </c>
      <c r="G38" s="13" t="s">
        <v>79</v>
      </c>
      <c r="H38" s="13" t="s">
        <v>376</v>
      </c>
    </row>
    <row r="39" customFormat="false" ht="17.25" hidden="false" customHeight="true" outlineLevel="0" collapsed="false">
      <c r="A39" s="14" t="s">
        <v>157</v>
      </c>
      <c r="B39" s="15" t="s">
        <v>158</v>
      </c>
      <c r="C39" s="16" t="s">
        <v>375</v>
      </c>
      <c r="D39" s="16" t="s">
        <v>79</v>
      </c>
      <c r="E39" s="15" t="s">
        <v>163</v>
      </c>
      <c r="F39" s="15" t="s">
        <v>164</v>
      </c>
      <c r="G39" s="16" t="s">
        <v>79</v>
      </c>
      <c r="H39" s="16" t="s">
        <v>376</v>
      </c>
    </row>
    <row r="40" customFormat="false" ht="17.25" hidden="false" customHeight="true" outlineLevel="0" collapsed="false">
      <c r="A40" s="11" t="s">
        <v>163</v>
      </c>
      <c r="B40" s="12" t="s">
        <v>164</v>
      </c>
      <c r="C40" s="13" t="s">
        <v>375</v>
      </c>
      <c r="D40" s="13" t="s">
        <v>79</v>
      </c>
      <c r="E40" s="12" t="s">
        <v>286</v>
      </c>
      <c r="F40" s="12" t="s">
        <v>287</v>
      </c>
      <c r="G40" s="13" t="s">
        <v>79</v>
      </c>
      <c r="H40" s="13" t="s">
        <v>376</v>
      </c>
    </row>
    <row r="41" customFormat="false" ht="17.25" hidden="false" customHeight="true" outlineLevel="0" collapsed="false">
      <c r="A41" s="14" t="s">
        <v>180</v>
      </c>
      <c r="B41" s="15" t="s">
        <v>181</v>
      </c>
      <c r="C41" s="16" t="s">
        <v>375</v>
      </c>
      <c r="D41" s="16" t="s">
        <v>86</v>
      </c>
      <c r="E41" s="15" t="s">
        <v>235</v>
      </c>
      <c r="F41" s="15" t="s">
        <v>236</v>
      </c>
      <c r="G41" s="16" t="s">
        <v>94</v>
      </c>
      <c r="H41" s="16" t="s">
        <v>376</v>
      </c>
    </row>
    <row r="42" customFormat="false" ht="17.25" hidden="false" customHeight="true" outlineLevel="0" collapsed="false">
      <c r="A42" s="11" t="s">
        <v>180</v>
      </c>
      <c r="B42" s="12" t="s">
        <v>181</v>
      </c>
      <c r="C42" s="13" t="s">
        <v>375</v>
      </c>
      <c r="D42" s="13" t="s">
        <v>86</v>
      </c>
      <c r="E42" s="12" t="s">
        <v>186</v>
      </c>
      <c r="F42" s="12" t="s">
        <v>187</v>
      </c>
      <c r="G42" s="13" t="s">
        <v>86</v>
      </c>
      <c r="H42" s="13" t="s">
        <v>376</v>
      </c>
    </row>
    <row r="43" customFormat="false" ht="17.25" hidden="false" customHeight="true" outlineLevel="0" collapsed="false">
      <c r="A43" s="14" t="s">
        <v>180</v>
      </c>
      <c r="B43" s="15" t="s">
        <v>181</v>
      </c>
      <c r="C43" s="16" t="s">
        <v>375</v>
      </c>
      <c r="D43" s="16" t="s">
        <v>86</v>
      </c>
      <c r="E43" s="15" t="s">
        <v>190</v>
      </c>
      <c r="F43" s="15" t="s">
        <v>191</v>
      </c>
      <c r="G43" s="16" t="s">
        <v>86</v>
      </c>
      <c r="H43" s="16" t="s">
        <v>376</v>
      </c>
    </row>
    <row r="44" customFormat="false" ht="17.25" hidden="false" customHeight="true" outlineLevel="0" collapsed="false">
      <c r="A44" s="11" t="s">
        <v>180</v>
      </c>
      <c r="B44" s="12" t="s">
        <v>181</v>
      </c>
      <c r="C44" s="13" t="s">
        <v>375</v>
      </c>
      <c r="D44" s="13" t="s">
        <v>86</v>
      </c>
      <c r="E44" s="12" t="s">
        <v>194</v>
      </c>
      <c r="F44" s="12" t="s">
        <v>195</v>
      </c>
      <c r="G44" s="13" t="s">
        <v>94</v>
      </c>
      <c r="H44" s="13" t="s">
        <v>376</v>
      </c>
    </row>
    <row r="45" customFormat="false" ht="17.25" hidden="false" customHeight="true" outlineLevel="0" collapsed="false">
      <c r="A45" s="14" t="s">
        <v>190</v>
      </c>
      <c r="B45" s="15" t="s">
        <v>191</v>
      </c>
      <c r="C45" s="16" t="s">
        <v>375</v>
      </c>
      <c r="D45" s="16" t="s">
        <v>86</v>
      </c>
      <c r="E45" s="15" t="s">
        <v>290</v>
      </c>
      <c r="F45" s="15" t="s">
        <v>291</v>
      </c>
      <c r="G45" s="16" t="s">
        <v>86</v>
      </c>
      <c r="H45" s="16" t="s">
        <v>376</v>
      </c>
    </row>
    <row r="46" customFormat="false" ht="17.25" hidden="false" customHeight="true" outlineLevel="0" collapsed="false">
      <c r="A46" s="11" t="s">
        <v>194</v>
      </c>
      <c r="B46" s="12" t="s">
        <v>195</v>
      </c>
      <c r="C46" s="13" t="s">
        <v>375</v>
      </c>
      <c r="D46" s="13" t="s">
        <v>94</v>
      </c>
      <c r="E46" s="12" t="s">
        <v>298</v>
      </c>
      <c r="F46" s="12" t="s">
        <v>300</v>
      </c>
      <c r="G46" s="13" t="s">
        <v>94</v>
      </c>
      <c r="H46" s="13" t="s">
        <v>376</v>
      </c>
    </row>
    <row r="47" customFormat="false" ht="17.25" hidden="false" customHeight="true" outlineLevel="0" collapsed="false">
      <c r="A47" s="14" t="s">
        <v>200</v>
      </c>
      <c r="B47" s="15" t="s">
        <v>202</v>
      </c>
      <c r="C47" s="16" t="s">
        <v>375</v>
      </c>
      <c r="D47" s="16" t="s">
        <v>94</v>
      </c>
      <c r="E47" s="15" t="s">
        <v>303</v>
      </c>
      <c r="F47" s="15" t="s">
        <v>304</v>
      </c>
      <c r="G47" s="16" t="s">
        <v>94</v>
      </c>
      <c r="H47" s="16" t="s">
        <v>376</v>
      </c>
    </row>
    <row r="48" customFormat="false" ht="17.25" hidden="false" customHeight="true" outlineLevel="0" collapsed="false">
      <c r="A48" s="11" t="s">
        <v>207</v>
      </c>
      <c r="B48" s="12" t="s">
        <v>208</v>
      </c>
      <c r="C48" s="13" t="s">
        <v>375</v>
      </c>
      <c r="D48" s="13" t="s">
        <v>94</v>
      </c>
      <c r="E48" s="12" t="s">
        <v>303</v>
      </c>
      <c r="F48" s="12" t="s">
        <v>304</v>
      </c>
      <c r="G48" s="13" t="s">
        <v>94</v>
      </c>
      <c r="H48" s="13" t="s">
        <v>376</v>
      </c>
    </row>
    <row r="49" customFormat="false" ht="17.25" hidden="false" customHeight="true" outlineLevel="0" collapsed="false">
      <c r="A49" s="14" t="s">
        <v>317</v>
      </c>
      <c r="B49" s="15" t="s">
        <v>377</v>
      </c>
      <c r="C49" s="16" t="s">
        <v>367</v>
      </c>
      <c r="D49" s="16" t="s">
        <v>374</v>
      </c>
      <c r="E49" s="15" t="s">
        <v>313</v>
      </c>
      <c r="F49" s="15" t="s">
        <v>314</v>
      </c>
      <c r="G49" s="16" t="s">
        <v>98</v>
      </c>
      <c r="H49" s="18" t="s">
        <v>334</v>
      </c>
    </row>
  </sheetData>
  <autoFilter ref="A1:H49"/>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E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2"/>
    <col collapsed="false" customWidth="true" hidden="false" outlineLevel="0" max="3" min="3" style="0" width="20"/>
    <col collapsed="false" customWidth="true" hidden="false" outlineLevel="0" max="4" min="4" style="0" width="26"/>
    <col collapsed="false" customWidth="true" hidden="false" outlineLevel="0" max="5" min="5" style="0" width="13"/>
  </cols>
  <sheetData>
    <row r="1" customFormat="false" ht="30" hidden="false" customHeight="true" outlineLevel="0" collapsed="false">
      <c r="A1" s="10" t="s">
        <v>378</v>
      </c>
      <c r="B1" s="10" t="s">
        <v>379</v>
      </c>
      <c r="C1" s="10" t="s">
        <v>380</v>
      </c>
      <c r="D1" s="10" t="s">
        <v>381</v>
      </c>
      <c r="E1" s="10" t="s">
        <v>382</v>
      </c>
    </row>
    <row r="2" customFormat="false" ht="28.5" hidden="false" customHeight="true" outlineLevel="0" collapsed="false">
      <c r="A2" s="11" t="s">
        <v>383</v>
      </c>
      <c r="B2" s="12" t="s">
        <v>384</v>
      </c>
      <c r="C2" s="12" t="s">
        <v>385</v>
      </c>
      <c r="D2" s="12" t="s">
        <v>386</v>
      </c>
      <c r="E2" s="13" t="s">
        <v>376</v>
      </c>
    </row>
    <row r="3" customFormat="false" ht="28.5" hidden="false" customHeight="true" outlineLevel="0" collapsed="false">
      <c r="A3" s="14" t="s">
        <v>387</v>
      </c>
      <c r="B3" s="15" t="s">
        <v>388</v>
      </c>
      <c r="C3" s="15" t="s">
        <v>389</v>
      </c>
      <c r="D3" s="15" t="s">
        <v>390</v>
      </c>
      <c r="E3" s="16" t="s">
        <v>376</v>
      </c>
    </row>
    <row r="4" customFormat="false" ht="28.5" hidden="false" customHeight="true" outlineLevel="0" collapsed="false">
      <c r="A4" s="11" t="s">
        <v>391</v>
      </c>
      <c r="B4" s="12" t="s">
        <v>392</v>
      </c>
      <c r="C4" s="12" t="s">
        <v>393</v>
      </c>
      <c r="D4" s="12" t="s">
        <v>394</v>
      </c>
      <c r="E4" s="13" t="s">
        <v>376</v>
      </c>
    </row>
    <row r="5" customFormat="false" ht="28.5" hidden="false" customHeight="true" outlineLevel="0" collapsed="false">
      <c r="A5" s="14" t="s">
        <v>395</v>
      </c>
      <c r="B5" s="15" t="s">
        <v>396</v>
      </c>
      <c r="C5" s="15" t="s">
        <v>397</v>
      </c>
      <c r="D5" s="15" t="s">
        <v>398</v>
      </c>
      <c r="E5" s="16" t="s">
        <v>376</v>
      </c>
    </row>
    <row r="6" customFormat="false" ht="28.5" hidden="false" customHeight="true" outlineLevel="0" collapsed="false">
      <c r="A6" s="11" t="s">
        <v>399</v>
      </c>
      <c r="B6" s="12" t="s">
        <v>400</v>
      </c>
      <c r="C6" s="12" t="s">
        <v>401</v>
      </c>
      <c r="D6" s="12" t="s">
        <v>402</v>
      </c>
      <c r="E6" s="13" t="s">
        <v>376</v>
      </c>
    </row>
    <row r="7" customFormat="false" ht="17.25" hidden="false" customHeight="true" outlineLevel="0" collapsed="false">
      <c r="A7" s="14" t="s">
        <v>403</v>
      </c>
      <c r="B7" s="15" t="s">
        <v>404</v>
      </c>
      <c r="C7" s="15" t="s">
        <v>385</v>
      </c>
      <c r="D7" s="15" t="s">
        <v>363</v>
      </c>
      <c r="E7" s="16" t="s">
        <v>376</v>
      </c>
    </row>
    <row r="8" customFormat="false" ht="28.5" hidden="false" customHeight="true" outlineLevel="0" collapsed="false">
      <c r="A8" s="11" t="s">
        <v>405</v>
      </c>
      <c r="B8" s="12" t="s">
        <v>406</v>
      </c>
      <c r="C8" s="12" t="s">
        <v>385</v>
      </c>
      <c r="D8" s="12" t="s">
        <v>407</v>
      </c>
      <c r="E8" s="13" t="s">
        <v>376</v>
      </c>
    </row>
    <row r="9" customFormat="false" ht="17.25" hidden="false" customHeight="true" outlineLevel="0" collapsed="false">
      <c r="A9" s="14" t="s">
        <v>408</v>
      </c>
      <c r="B9" s="15" t="s">
        <v>409</v>
      </c>
      <c r="C9" s="15" t="s">
        <v>410</v>
      </c>
      <c r="D9" s="15" t="s">
        <v>411</v>
      </c>
      <c r="E9" s="16" t="s">
        <v>376</v>
      </c>
    </row>
    <row r="10" customFormat="false" ht="28.5" hidden="false" customHeight="true" outlineLevel="0" collapsed="false">
      <c r="A10" s="11" t="s">
        <v>412</v>
      </c>
      <c r="B10" s="12" t="s">
        <v>413</v>
      </c>
      <c r="C10" s="12" t="s">
        <v>414</v>
      </c>
      <c r="D10" s="12" t="s">
        <v>415</v>
      </c>
      <c r="E10" s="13" t="s">
        <v>376</v>
      </c>
    </row>
    <row r="11" customFormat="false" ht="28.5" hidden="false" customHeight="true" outlineLevel="0" collapsed="false">
      <c r="A11" s="14" t="s">
        <v>416</v>
      </c>
      <c r="B11" s="15" t="s">
        <v>417</v>
      </c>
      <c r="C11" s="15" t="s">
        <v>418</v>
      </c>
      <c r="D11" s="15" t="s">
        <v>185</v>
      </c>
      <c r="E11" s="16" t="s">
        <v>376</v>
      </c>
    </row>
    <row r="12" customFormat="false" ht="28.5" hidden="false" customHeight="true" outlineLevel="0" collapsed="false">
      <c r="A12" s="11" t="s">
        <v>419</v>
      </c>
      <c r="B12" s="12" t="s">
        <v>420</v>
      </c>
      <c r="C12" s="12" t="s">
        <v>421</v>
      </c>
      <c r="D12" s="12" t="s">
        <v>174</v>
      </c>
      <c r="E12" s="13" t="s">
        <v>376</v>
      </c>
    </row>
    <row r="13" customFormat="false" ht="28.5" hidden="false" customHeight="true" outlineLevel="0" collapsed="false">
      <c r="A13" s="14" t="s">
        <v>422</v>
      </c>
      <c r="B13" s="15" t="s">
        <v>423</v>
      </c>
      <c r="C13" s="15" t="s">
        <v>424</v>
      </c>
      <c r="D13" s="15" t="s">
        <v>425</v>
      </c>
      <c r="E13" s="16" t="s">
        <v>376</v>
      </c>
    </row>
    <row r="14" customFormat="false" ht="28.5" hidden="false" customHeight="true" outlineLevel="0" collapsed="false">
      <c r="A14" s="11" t="s">
        <v>426</v>
      </c>
      <c r="B14" s="12" t="s">
        <v>427</v>
      </c>
      <c r="C14" s="12" t="s">
        <v>428</v>
      </c>
      <c r="D14" s="12" t="s">
        <v>429</v>
      </c>
      <c r="E14" s="13" t="s">
        <v>376</v>
      </c>
    </row>
    <row r="15" customFormat="false" ht="28.5" hidden="false" customHeight="true" outlineLevel="0" collapsed="false">
      <c r="A15" s="14" t="s">
        <v>430</v>
      </c>
      <c r="B15" s="15" t="s">
        <v>431</v>
      </c>
      <c r="C15" s="15" t="s">
        <v>432</v>
      </c>
      <c r="D15" s="15" t="s">
        <v>433</v>
      </c>
      <c r="E15" s="16" t="s">
        <v>376</v>
      </c>
    </row>
    <row r="16" customFormat="false" ht="28.5" hidden="false" customHeight="true" outlineLevel="0" collapsed="false">
      <c r="A16" s="11" t="s">
        <v>434</v>
      </c>
      <c r="B16" s="12" t="s">
        <v>435</v>
      </c>
      <c r="C16" s="12" t="s">
        <v>436</v>
      </c>
      <c r="D16" s="12" t="s">
        <v>437</v>
      </c>
      <c r="E16" s="13" t="s">
        <v>376</v>
      </c>
    </row>
    <row r="17" customFormat="false" ht="28.5" hidden="false" customHeight="true" outlineLevel="0" collapsed="false">
      <c r="A17" s="14" t="s">
        <v>438</v>
      </c>
      <c r="B17" s="15" t="s">
        <v>439</v>
      </c>
      <c r="C17" s="15" t="s">
        <v>440</v>
      </c>
      <c r="D17" s="15" t="s">
        <v>441</v>
      </c>
      <c r="E17" s="16" t="s">
        <v>376</v>
      </c>
    </row>
    <row r="18" customFormat="false" ht="28.5" hidden="false" customHeight="true" outlineLevel="0" collapsed="false">
      <c r="A18" s="33" t="s">
        <v>442</v>
      </c>
      <c r="B18" s="34" t="s">
        <v>443</v>
      </c>
      <c r="C18" s="34" t="s">
        <v>151</v>
      </c>
      <c r="D18" s="34" t="s">
        <v>150</v>
      </c>
      <c r="E18" s="20" t="s">
        <v>334</v>
      </c>
    </row>
    <row r="19" customFormat="false" ht="28.5" hidden="false" customHeight="true" outlineLevel="0" collapsed="false">
      <c r="A19" s="14" t="s">
        <v>444</v>
      </c>
      <c r="B19" s="15" t="s">
        <v>445</v>
      </c>
      <c r="C19" s="15" t="s">
        <v>440</v>
      </c>
      <c r="D19" s="15" t="s">
        <v>446</v>
      </c>
      <c r="E19" s="16" t="s">
        <v>376</v>
      </c>
    </row>
    <row r="20" customFormat="false" ht="28.5" hidden="false" customHeight="true" outlineLevel="0" collapsed="false">
      <c r="A20" s="11" t="s">
        <v>447</v>
      </c>
      <c r="B20" s="12" t="s">
        <v>448</v>
      </c>
      <c r="C20" s="12" t="s">
        <v>449</v>
      </c>
      <c r="D20" s="12" t="s">
        <v>450</v>
      </c>
      <c r="E20" s="13" t="s">
        <v>376</v>
      </c>
    </row>
    <row r="21" customFormat="false" ht="28.5" hidden="false" customHeight="true" outlineLevel="0" collapsed="false">
      <c r="A21" s="14" t="s">
        <v>451</v>
      </c>
      <c r="B21" s="15" t="s">
        <v>452</v>
      </c>
      <c r="C21" s="15" t="s">
        <v>410</v>
      </c>
      <c r="D21" s="15" t="s">
        <v>411</v>
      </c>
      <c r="E21" s="16" t="s">
        <v>376</v>
      </c>
    </row>
    <row r="22" customFormat="false" ht="40.5" hidden="false" customHeight="true" outlineLevel="0" collapsed="false">
      <c r="A22" s="11" t="s">
        <v>453</v>
      </c>
      <c r="B22" s="12" t="s">
        <v>454</v>
      </c>
      <c r="C22" s="12" t="s">
        <v>455</v>
      </c>
      <c r="D22" s="12" t="s">
        <v>456</v>
      </c>
      <c r="E22" s="13" t="s">
        <v>376</v>
      </c>
    </row>
    <row r="23" customFormat="false" ht="28.5" hidden="false" customHeight="true" outlineLevel="0" collapsed="false">
      <c r="A23" s="14" t="s">
        <v>457</v>
      </c>
      <c r="B23" s="15" t="s">
        <v>458</v>
      </c>
      <c r="C23" s="15" t="s">
        <v>459</v>
      </c>
      <c r="D23" s="15" t="s">
        <v>460</v>
      </c>
      <c r="E23" s="16" t="s">
        <v>376</v>
      </c>
    </row>
    <row r="24" customFormat="false" ht="28.5" hidden="false" customHeight="true" outlineLevel="0" collapsed="false">
      <c r="A24" s="11" t="s">
        <v>461</v>
      </c>
      <c r="B24" s="12" t="s">
        <v>462</v>
      </c>
      <c r="C24" s="12" t="s">
        <v>385</v>
      </c>
      <c r="D24" s="12" t="s">
        <v>450</v>
      </c>
      <c r="E24" s="13" t="s">
        <v>376</v>
      </c>
    </row>
    <row r="25" customFormat="false" ht="28.5" hidden="false" customHeight="true" outlineLevel="0" collapsed="false">
      <c r="A25" s="14" t="s">
        <v>463</v>
      </c>
      <c r="B25" s="15" t="s">
        <v>464</v>
      </c>
      <c r="C25" s="15" t="s">
        <v>465</v>
      </c>
      <c r="D25" s="15" t="s">
        <v>466</v>
      </c>
      <c r="E25" s="16" t="s">
        <v>376</v>
      </c>
    </row>
    <row r="26" customFormat="false" ht="28.5" hidden="false" customHeight="true" outlineLevel="0" collapsed="false">
      <c r="A26" s="11" t="s">
        <v>467</v>
      </c>
      <c r="B26" s="12" t="s">
        <v>468</v>
      </c>
      <c r="C26" s="12" t="s">
        <v>393</v>
      </c>
      <c r="D26" s="12" t="s">
        <v>469</v>
      </c>
      <c r="E26" s="13" t="s">
        <v>376</v>
      </c>
    </row>
    <row r="27" customFormat="false" ht="28.5" hidden="false" customHeight="true" outlineLevel="0" collapsed="false">
      <c r="A27" s="14" t="s">
        <v>470</v>
      </c>
      <c r="B27" s="15" t="s">
        <v>471</v>
      </c>
      <c r="C27" s="15" t="s">
        <v>472</v>
      </c>
      <c r="D27" s="15" t="s">
        <v>473</v>
      </c>
      <c r="E27" s="16" t="s">
        <v>376</v>
      </c>
    </row>
    <row r="28" customFormat="false" ht="28.5" hidden="false" customHeight="true" outlineLevel="0" collapsed="false">
      <c r="A28" s="11" t="s">
        <v>474</v>
      </c>
      <c r="B28" s="12" t="s">
        <v>475</v>
      </c>
      <c r="C28" s="12" t="s">
        <v>397</v>
      </c>
      <c r="D28" s="12" t="s">
        <v>476</v>
      </c>
      <c r="E28" s="13" t="s">
        <v>376</v>
      </c>
    </row>
    <row r="29" customFormat="false" ht="28.5" hidden="false" customHeight="true" outlineLevel="0" collapsed="false">
      <c r="A29" s="14" t="s">
        <v>477</v>
      </c>
      <c r="B29" s="15" t="s">
        <v>478</v>
      </c>
      <c r="C29" s="15" t="s">
        <v>385</v>
      </c>
      <c r="D29" s="15" t="s">
        <v>386</v>
      </c>
      <c r="E29" s="16" t="s">
        <v>376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E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8"/>
    <col collapsed="false" customWidth="true" hidden="false" outlineLevel="0" max="3" min="3" style="0" width="52"/>
    <col collapsed="false" customWidth="true" hidden="false" outlineLevel="0" max="4" min="4" style="0" width="32"/>
    <col collapsed="false" customWidth="true" hidden="false" outlineLevel="0" max="5" min="5" style="0" width="13"/>
  </cols>
  <sheetData>
    <row r="1" customFormat="false" ht="30" hidden="false" customHeight="true" outlineLevel="0" collapsed="false">
      <c r="A1" s="10" t="s">
        <v>479</v>
      </c>
      <c r="B1" s="10" t="s">
        <v>480</v>
      </c>
      <c r="C1" s="10" t="s">
        <v>481</v>
      </c>
      <c r="D1" s="10" t="s">
        <v>482</v>
      </c>
      <c r="E1" s="10" t="s">
        <v>382</v>
      </c>
    </row>
    <row r="2" customFormat="false" ht="28.5" hidden="false" customHeight="true" outlineLevel="0" collapsed="false">
      <c r="A2" s="33" t="s">
        <v>483</v>
      </c>
      <c r="B2" s="34" t="s">
        <v>484</v>
      </c>
      <c r="C2" s="34" t="s">
        <v>485</v>
      </c>
      <c r="D2" s="34" t="s">
        <v>486</v>
      </c>
      <c r="E2" s="20" t="s">
        <v>334</v>
      </c>
    </row>
    <row r="3" customFormat="false" ht="17.25" hidden="false" customHeight="true" outlineLevel="0" collapsed="false">
      <c r="A3" s="33" t="s">
        <v>487</v>
      </c>
      <c r="B3" s="34" t="s">
        <v>488</v>
      </c>
      <c r="C3" s="34" t="s">
        <v>489</v>
      </c>
      <c r="D3" s="34" t="s">
        <v>490</v>
      </c>
      <c r="E3" s="20" t="s">
        <v>334</v>
      </c>
    </row>
    <row r="4" customFormat="false" ht="28.5" hidden="false" customHeight="true" outlineLevel="0" collapsed="false">
      <c r="A4" s="33" t="s">
        <v>491</v>
      </c>
      <c r="B4" s="34" t="s">
        <v>492</v>
      </c>
      <c r="C4" s="34" t="s">
        <v>493</v>
      </c>
      <c r="D4" s="34" t="s">
        <v>494</v>
      </c>
      <c r="E4" s="20" t="s">
        <v>334</v>
      </c>
    </row>
    <row r="5" customFormat="false" ht="28.5" hidden="false" customHeight="true" outlineLevel="0" collapsed="false">
      <c r="A5" s="33" t="s">
        <v>495</v>
      </c>
      <c r="B5" s="34" t="s">
        <v>496</v>
      </c>
      <c r="C5" s="34" t="s">
        <v>497</v>
      </c>
      <c r="D5" s="34" t="s">
        <v>498</v>
      </c>
      <c r="E5" s="20" t="s">
        <v>334</v>
      </c>
    </row>
    <row r="6" customFormat="false" ht="28.5" hidden="false" customHeight="true" outlineLevel="0" collapsed="false">
      <c r="A6" s="11" t="s">
        <v>499</v>
      </c>
      <c r="B6" s="12" t="s">
        <v>500</v>
      </c>
      <c r="C6" s="12" t="s">
        <v>501</v>
      </c>
      <c r="D6" s="12" t="s">
        <v>502</v>
      </c>
      <c r="E6" s="13" t="s">
        <v>376</v>
      </c>
    </row>
    <row r="7" customFormat="false" ht="28.5" hidden="false" customHeight="true" outlineLevel="0" collapsed="false">
      <c r="A7" s="14" t="s">
        <v>503</v>
      </c>
      <c r="B7" s="15" t="s">
        <v>504</v>
      </c>
      <c r="C7" s="15" t="s">
        <v>505</v>
      </c>
      <c r="D7" s="15" t="s">
        <v>506</v>
      </c>
      <c r="E7" s="16" t="s">
        <v>376</v>
      </c>
    </row>
    <row r="8" customFormat="false" ht="28.5" hidden="false" customHeight="true" outlineLevel="0" collapsed="false">
      <c r="A8" s="11" t="s">
        <v>507</v>
      </c>
      <c r="B8" s="12" t="s">
        <v>508</v>
      </c>
      <c r="C8" s="12" t="s">
        <v>509</v>
      </c>
      <c r="D8" s="12" t="s">
        <v>510</v>
      </c>
      <c r="E8" s="13" t="s">
        <v>376</v>
      </c>
    </row>
    <row r="9" customFormat="false" ht="28.5" hidden="false" customHeight="true" outlineLevel="0" collapsed="false">
      <c r="A9" s="33" t="s">
        <v>511</v>
      </c>
      <c r="B9" s="34" t="s">
        <v>512</v>
      </c>
      <c r="C9" s="34" t="s">
        <v>513</v>
      </c>
      <c r="D9" s="34" t="s">
        <v>514</v>
      </c>
      <c r="E9" s="20" t="s">
        <v>334</v>
      </c>
    </row>
    <row r="10" customFormat="false" ht="28.5" hidden="false" customHeight="true" outlineLevel="0" collapsed="false">
      <c r="A10" s="11" t="s">
        <v>515</v>
      </c>
      <c r="B10" s="12" t="s">
        <v>516</v>
      </c>
      <c r="C10" s="12" t="s">
        <v>517</v>
      </c>
      <c r="D10" s="12" t="s">
        <v>518</v>
      </c>
      <c r="E10" s="13" t="s">
        <v>376</v>
      </c>
    </row>
    <row r="11" customFormat="false" ht="28.5" hidden="false" customHeight="true" outlineLevel="0" collapsed="false">
      <c r="A11" s="33" t="s">
        <v>519</v>
      </c>
      <c r="B11" s="34" t="s">
        <v>520</v>
      </c>
      <c r="C11" s="34" t="s">
        <v>521</v>
      </c>
      <c r="D11" s="34" t="s">
        <v>522</v>
      </c>
      <c r="E11" s="20" t="s">
        <v>334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E2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5"/>
    <col collapsed="false" customWidth="true" hidden="false" outlineLevel="0" max="4" min="4" style="0" width="9"/>
    <col collapsed="false" customWidth="true" hidden="false" outlineLevel="0" max="5" min="5" style="0" width="10"/>
  </cols>
  <sheetData>
    <row r="1" customFormat="false" ht="30" hidden="false" customHeight="true" outlineLevel="0" collapsed="false">
      <c r="A1" s="10" t="s">
        <v>523</v>
      </c>
      <c r="B1" s="10" t="s">
        <v>524</v>
      </c>
      <c r="C1" s="10" t="s">
        <v>525</v>
      </c>
      <c r="D1" s="10" t="s">
        <v>112</v>
      </c>
      <c r="E1" s="10" t="s">
        <v>108</v>
      </c>
    </row>
    <row r="2" customFormat="false" ht="17.25" hidden="false" customHeight="true" outlineLevel="0" collapsed="false">
      <c r="A2" s="12" t="s">
        <v>122</v>
      </c>
      <c r="B2" s="12" t="s">
        <v>146</v>
      </c>
      <c r="C2" s="12" t="s">
        <v>144</v>
      </c>
      <c r="D2" s="13" t="s">
        <v>79</v>
      </c>
      <c r="E2" s="13" t="s">
        <v>121</v>
      </c>
    </row>
    <row r="3" customFormat="false" ht="17.25" hidden="false" customHeight="true" outlineLevel="0" collapsed="false">
      <c r="A3" s="15" t="s">
        <v>122</v>
      </c>
      <c r="B3" s="15" t="s">
        <v>134</v>
      </c>
      <c r="C3" s="15" t="s">
        <v>132</v>
      </c>
      <c r="D3" s="16" t="s">
        <v>79</v>
      </c>
      <c r="E3" s="16" t="s">
        <v>121</v>
      </c>
    </row>
    <row r="4" customFormat="false" ht="17.25" hidden="false" customHeight="true" outlineLevel="0" collapsed="false">
      <c r="A4" s="12" t="s">
        <v>122</v>
      </c>
      <c r="B4" s="12" t="s">
        <v>526</v>
      </c>
      <c r="C4" s="12" t="s">
        <v>120</v>
      </c>
      <c r="D4" s="13" t="s">
        <v>79</v>
      </c>
      <c r="E4" s="13" t="s">
        <v>121</v>
      </c>
    </row>
    <row r="5" customFormat="false" ht="17.25" hidden="false" customHeight="true" outlineLevel="0" collapsed="false">
      <c r="A5" s="15" t="s">
        <v>122</v>
      </c>
      <c r="B5" s="15" t="s">
        <v>527</v>
      </c>
      <c r="C5" s="15" t="s">
        <v>120</v>
      </c>
      <c r="D5" s="16" t="s">
        <v>79</v>
      </c>
      <c r="E5" s="16" t="s">
        <v>121</v>
      </c>
    </row>
    <row r="6" customFormat="false" ht="17.25" hidden="false" customHeight="true" outlineLevel="0" collapsed="false">
      <c r="A6" s="12" t="s">
        <v>122</v>
      </c>
      <c r="B6" s="12" t="s">
        <v>528</v>
      </c>
      <c r="C6" s="12" t="s">
        <v>138</v>
      </c>
      <c r="D6" s="13" t="s">
        <v>79</v>
      </c>
      <c r="E6" s="13" t="s">
        <v>121</v>
      </c>
    </row>
    <row r="7" customFormat="false" ht="17.25" hidden="false" customHeight="true" outlineLevel="0" collapsed="false">
      <c r="A7" s="15" t="s">
        <v>122</v>
      </c>
      <c r="B7" s="15" t="s">
        <v>529</v>
      </c>
      <c r="C7" s="15" t="s">
        <v>138</v>
      </c>
      <c r="D7" s="16" t="s">
        <v>79</v>
      </c>
      <c r="E7" s="16" t="s">
        <v>121</v>
      </c>
    </row>
    <row r="8" customFormat="false" ht="17.25" hidden="false" customHeight="true" outlineLevel="0" collapsed="false">
      <c r="A8" s="12" t="s">
        <v>84</v>
      </c>
      <c r="B8" s="12" t="s">
        <v>530</v>
      </c>
      <c r="C8" s="12" t="s">
        <v>169</v>
      </c>
      <c r="D8" s="13" t="s">
        <v>86</v>
      </c>
      <c r="E8" s="13" t="s">
        <v>121</v>
      </c>
    </row>
    <row r="9" customFormat="false" ht="17.25" hidden="false" customHeight="true" outlineLevel="0" collapsed="false">
      <c r="A9" s="15" t="s">
        <v>84</v>
      </c>
      <c r="B9" s="15" t="s">
        <v>531</v>
      </c>
      <c r="C9" s="15" t="s">
        <v>169</v>
      </c>
      <c r="D9" s="16" t="s">
        <v>86</v>
      </c>
      <c r="E9" s="16" t="s">
        <v>121</v>
      </c>
    </row>
    <row r="10" customFormat="false" ht="17.25" hidden="false" customHeight="true" outlineLevel="0" collapsed="false">
      <c r="A10" s="12" t="s">
        <v>84</v>
      </c>
      <c r="B10" s="12" t="s">
        <v>532</v>
      </c>
      <c r="C10" s="12" t="s">
        <v>175</v>
      </c>
      <c r="D10" s="13" t="s">
        <v>86</v>
      </c>
      <c r="E10" s="13" t="s">
        <v>121</v>
      </c>
    </row>
    <row r="11" customFormat="false" ht="17.25" hidden="false" customHeight="true" outlineLevel="0" collapsed="false">
      <c r="A11" s="15" t="s">
        <v>84</v>
      </c>
      <c r="B11" s="15" t="s">
        <v>533</v>
      </c>
      <c r="C11" s="15" t="s">
        <v>175</v>
      </c>
      <c r="D11" s="16" t="s">
        <v>86</v>
      </c>
      <c r="E11" s="16" t="s">
        <v>121</v>
      </c>
    </row>
    <row r="12" customFormat="false" ht="17.25" hidden="false" customHeight="true" outlineLevel="0" collapsed="false">
      <c r="A12" s="12" t="s">
        <v>84</v>
      </c>
      <c r="B12" s="12" t="s">
        <v>534</v>
      </c>
      <c r="C12" s="12" t="s">
        <v>175</v>
      </c>
      <c r="D12" s="13" t="s">
        <v>86</v>
      </c>
      <c r="E12" s="13" t="s">
        <v>121</v>
      </c>
    </row>
    <row r="13" customFormat="false" ht="17.25" hidden="false" customHeight="true" outlineLevel="0" collapsed="false">
      <c r="A13" s="15" t="s">
        <v>151</v>
      </c>
      <c r="B13" s="15" t="s">
        <v>165</v>
      </c>
      <c r="C13" s="15" t="s">
        <v>163</v>
      </c>
      <c r="D13" s="16" t="s">
        <v>79</v>
      </c>
      <c r="E13" s="16" t="s">
        <v>121</v>
      </c>
    </row>
    <row r="14" customFormat="false" ht="17.25" hidden="false" customHeight="true" outlineLevel="0" collapsed="false">
      <c r="A14" s="12" t="s">
        <v>151</v>
      </c>
      <c r="B14" s="12" t="s">
        <v>535</v>
      </c>
      <c r="C14" s="12" t="s">
        <v>150</v>
      </c>
      <c r="D14" s="13" t="s">
        <v>79</v>
      </c>
      <c r="E14" s="13" t="s">
        <v>121</v>
      </c>
    </row>
    <row r="15" customFormat="false" ht="17.25" hidden="false" customHeight="true" outlineLevel="0" collapsed="false">
      <c r="A15" s="15" t="s">
        <v>151</v>
      </c>
      <c r="B15" s="15" t="s">
        <v>159</v>
      </c>
      <c r="C15" s="15" t="s">
        <v>157</v>
      </c>
      <c r="D15" s="16" t="s">
        <v>79</v>
      </c>
      <c r="E15" s="16" t="s">
        <v>121</v>
      </c>
    </row>
    <row r="16" customFormat="false" ht="17.25" hidden="false" customHeight="true" outlineLevel="0" collapsed="false">
      <c r="A16" s="12" t="s">
        <v>151</v>
      </c>
      <c r="B16" s="12" t="s">
        <v>536</v>
      </c>
      <c r="C16" s="12" t="s">
        <v>150</v>
      </c>
      <c r="D16" s="13" t="s">
        <v>79</v>
      </c>
      <c r="E16" s="13" t="s">
        <v>121</v>
      </c>
    </row>
    <row r="17" customFormat="false" ht="17.25" hidden="false" customHeight="true" outlineLevel="0" collapsed="false">
      <c r="A17" s="15" t="s">
        <v>219</v>
      </c>
      <c r="B17" s="15" t="s">
        <v>537</v>
      </c>
      <c r="C17" s="15" t="s">
        <v>225</v>
      </c>
      <c r="D17" s="16" t="s">
        <v>98</v>
      </c>
      <c r="E17" s="16" t="s">
        <v>121</v>
      </c>
    </row>
    <row r="18" customFormat="false" ht="17.25" hidden="false" customHeight="true" outlineLevel="0" collapsed="false">
      <c r="A18" s="12" t="s">
        <v>219</v>
      </c>
      <c r="B18" s="12" t="s">
        <v>538</v>
      </c>
      <c r="C18" s="12" t="s">
        <v>218</v>
      </c>
      <c r="D18" s="13" t="s">
        <v>98</v>
      </c>
      <c r="E18" s="13" t="s">
        <v>121</v>
      </c>
    </row>
    <row r="19" customFormat="false" ht="17.25" hidden="false" customHeight="true" outlineLevel="0" collapsed="false">
      <c r="A19" s="15" t="s">
        <v>219</v>
      </c>
      <c r="B19" s="15" t="s">
        <v>539</v>
      </c>
      <c r="C19" s="15" t="s">
        <v>225</v>
      </c>
      <c r="D19" s="16" t="s">
        <v>98</v>
      </c>
      <c r="E19" s="16" t="s">
        <v>121</v>
      </c>
    </row>
    <row r="20" customFormat="false" ht="17.25" hidden="false" customHeight="true" outlineLevel="0" collapsed="false">
      <c r="A20" s="12" t="s">
        <v>219</v>
      </c>
      <c r="B20" s="12" t="s">
        <v>540</v>
      </c>
      <c r="C20" s="12" t="s">
        <v>218</v>
      </c>
      <c r="D20" s="13" t="s">
        <v>98</v>
      </c>
      <c r="E20" s="13" t="s">
        <v>121</v>
      </c>
    </row>
    <row r="21" customFormat="false" ht="17.25" hidden="false" customHeight="true" outlineLevel="0" collapsed="false">
      <c r="A21" s="15" t="s">
        <v>88</v>
      </c>
      <c r="B21" s="15" t="s">
        <v>182</v>
      </c>
      <c r="C21" s="15" t="s">
        <v>180</v>
      </c>
      <c r="D21" s="16" t="s">
        <v>86</v>
      </c>
      <c r="E21" s="16" t="s">
        <v>121</v>
      </c>
    </row>
    <row r="22" customFormat="false" ht="17.25" hidden="false" customHeight="true" outlineLevel="0" collapsed="false">
      <c r="A22" s="12" t="s">
        <v>88</v>
      </c>
      <c r="B22" s="12" t="s">
        <v>541</v>
      </c>
      <c r="C22" s="12" t="s">
        <v>194</v>
      </c>
      <c r="D22" s="13" t="s">
        <v>94</v>
      </c>
      <c r="E22" s="13" t="s">
        <v>121</v>
      </c>
    </row>
    <row r="23" customFormat="false" ht="17.25" hidden="false" customHeight="true" outlineLevel="0" collapsed="false">
      <c r="A23" s="15" t="s">
        <v>88</v>
      </c>
      <c r="B23" s="15" t="s">
        <v>542</v>
      </c>
      <c r="C23" s="15" t="s">
        <v>194</v>
      </c>
      <c r="D23" s="16" t="s">
        <v>94</v>
      </c>
      <c r="E23" s="16" t="s">
        <v>121</v>
      </c>
    </row>
    <row r="24" customFormat="false" ht="17.25" hidden="false" customHeight="true" outlineLevel="0" collapsed="false">
      <c r="A24" s="12" t="s">
        <v>201</v>
      </c>
      <c r="B24" s="12" t="s">
        <v>209</v>
      </c>
      <c r="C24" s="12" t="s">
        <v>207</v>
      </c>
      <c r="D24" s="13" t="s">
        <v>94</v>
      </c>
      <c r="E24" s="13" t="s">
        <v>121</v>
      </c>
    </row>
    <row r="25" customFormat="false" ht="17.25" hidden="false" customHeight="true" outlineLevel="0" collapsed="false">
      <c r="A25" s="15" t="s">
        <v>201</v>
      </c>
      <c r="B25" s="15" t="s">
        <v>543</v>
      </c>
      <c r="C25" s="15" t="s">
        <v>200</v>
      </c>
      <c r="D25" s="16" t="s">
        <v>94</v>
      </c>
      <c r="E25" s="16" t="s">
        <v>121</v>
      </c>
    </row>
    <row r="26" customFormat="false" ht="17.25" hidden="false" customHeight="true" outlineLevel="0" collapsed="false">
      <c r="A26" s="12" t="s">
        <v>201</v>
      </c>
      <c r="B26" s="12" t="s">
        <v>544</v>
      </c>
      <c r="C26" s="12" t="s">
        <v>200</v>
      </c>
      <c r="D26" s="13" t="s">
        <v>94</v>
      </c>
      <c r="E26" s="13" t="s">
        <v>121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F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32"/>
    <col collapsed="false" customWidth="true" hidden="false" outlineLevel="0" max="4" min="4" style="0" width="46"/>
    <col collapsed="false" customWidth="true" hidden="false" outlineLevel="0" max="5" min="5" style="0" width="13"/>
    <col collapsed="false" customWidth="true" hidden="false" outlineLevel="0" max="6" min="6" style="0" width="16"/>
  </cols>
  <sheetData>
    <row r="1" customFormat="false" ht="30" hidden="false" customHeight="true" outlineLevel="0" collapsed="false">
      <c r="A1" s="10" t="s">
        <v>545</v>
      </c>
      <c r="B1" s="10" t="s">
        <v>546</v>
      </c>
      <c r="C1" s="10" t="s">
        <v>547</v>
      </c>
      <c r="D1" s="10" t="s">
        <v>548</v>
      </c>
      <c r="E1" s="10" t="s">
        <v>549</v>
      </c>
      <c r="F1" s="10" t="s">
        <v>550</v>
      </c>
    </row>
    <row r="2" customFormat="false" ht="28.5" hidden="false" customHeight="true" outlineLevel="0" collapsed="false">
      <c r="A2" s="11" t="s">
        <v>551</v>
      </c>
      <c r="B2" s="12" t="s">
        <v>552</v>
      </c>
      <c r="C2" s="12" t="s">
        <v>553</v>
      </c>
      <c r="D2" s="12" t="s">
        <v>554</v>
      </c>
      <c r="E2" s="13" t="s">
        <v>332</v>
      </c>
      <c r="F2" s="12" t="s">
        <v>555</v>
      </c>
    </row>
    <row r="3" customFormat="false" ht="28.5" hidden="false" customHeight="true" outlineLevel="0" collapsed="false">
      <c r="A3" s="14" t="s">
        <v>556</v>
      </c>
      <c r="B3" s="15" t="s">
        <v>557</v>
      </c>
      <c r="C3" s="15" t="s">
        <v>558</v>
      </c>
      <c r="D3" s="15" t="s">
        <v>559</v>
      </c>
      <c r="E3" s="16" t="s">
        <v>332</v>
      </c>
      <c r="F3" s="15" t="s">
        <v>560</v>
      </c>
    </row>
    <row r="4" customFormat="false" ht="28.5" hidden="false" customHeight="true" outlineLevel="0" collapsed="false">
      <c r="A4" s="11" t="s">
        <v>561</v>
      </c>
      <c r="B4" s="12" t="s">
        <v>385</v>
      </c>
      <c r="C4" s="12" t="s">
        <v>562</v>
      </c>
      <c r="D4" s="12" t="s">
        <v>563</v>
      </c>
      <c r="E4" s="13" t="s">
        <v>564</v>
      </c>
      <c r="F4" s="12" t="s">
        <v>386</v>
      </c>
    </row>
    <row r="5" customFormat="false" ht="28.5" hidden="false" customHeight="true" outlineLevel="0" collapsed="false">
      <c r="A5" s="14" t="s">
        <v>565</v>
      </c>
      <c r="B5" s="15" t="s">
        <v>385</v>
      </c>
      <c r="C5" s="15" t="s">
        <v>566</v>
      </c>
      <c r="D5" s="15" t="s">
        <v>567</v>
      </c>
      <c r="E5" s="16" t="s">
        <v>564</v>
      </c>
      <c r="F5" s="15" t="s">
        <v>568</v>
      </c>
    </row>
    <row r="6" customFormat="false" ht="28.5" hidden="false" customHeight="true" outlineLevel="0" collapsed="false">
      <c r="A6" s="11" t="s">
        <v>569</v>
      </c>
      <c r="B6" s="12" t="s">
        <v>459</v>
      </c>
      <c r="C6" s="12" t="s">
        <v>570</v>
      </c>
      <c r="D6" s="12" t="s">
        <v>571</v>
      </c>
      <c r="E6" s="13" t="s">
        <v>572</v>
      </c>
      <c r="F6" s="12" t="s">
        <v>460</v>
      </c>
    </row>
    <row r="7" customFormat="false" ht="28.5" hidden="false" customHeight="true" outlineLevel="0" collapsed="false">
      <c r="A7" s="14" t="s">
        <v>573</v>
      </c>
      <c r="B7" s="15" t="s">
        <v>393</v>
      </c>
      <c r="C7" s="15" t="s">
        <v>574</v>
      </c>
      <c r="D7" s="15" t="s">
        <v>575</v>
      </c>
      <c r="E7" s="16" t="s">
        <v>572</v>
      </c>
      <c r="F7" s="15" t="s">
        <v>469</v>
      </c>
    </row>
    <row r="8" customFormat="false" ht="28.5" hidden="false" customHeight="true" outlineLevel="0" collapsed="false">
      <c r="A8" s="11" t="s">
        <v>576</v>
      </c>
      <c r="B8" s="12" t="s">
        <v>418</v>
      </c>
      <c r="C8" s="12" t="s">
        <v>577</v>
      </c>
      <c r="D8" s="12" t="s">
        <v>578</v>
      </c>
      <c r="E8" s="13" t="s">
        <v>572</v>
      </c>
      <c r="F8" s="12" t="s">
        <v>174</v>
      </c>
    </row>
    <row r="9" customFormat="false" ht="28.5" hidden="false" customHeight="true" outlineLevel="0" collapsed="false">
      <c r="A9" s="14" t="s">
        <v>579</v>
      </c>
      <c r="B9" s="15" t="s">
        <v>465</v>
      </c>
      <c r="C9" s="15" t="s">
        <v>580</v>
      </c>
      <c r="D9" s="15" t="s">
        <v>581</v>
      </c>
      <c r="E9" s="16" t="s">
        <v>572</v>
      </c>
      <c r="F9" s="15" t="s">
        <v>582</v>
      </c>
    </row>
    <row r="10" customFormat="false" ht="28.5" hidden="false" customHeight="true" outlineLevel="0" collapsed="false">
      <c r="A10" s="11" t="s">
        <v>583</v>
      </c>
      <c r="B10" s="12" t="s">
        <v>397</v>
      </c>
      <c r="C10" s="12" t="s">
        <v>584</v>
      </c>
      <c r="D10" s="12" t="s">
        <v>585</v>
      </c>
      <c r="E10" s="13" t="s">
        <v>564</v>
      </c>
      <c r="F10" s="12" t="s">
        <v>586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F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1"/>
    <col collapsed="false" customWidth="true" hidden="false" outlineLevel="0" max="4" min="4" style="0" width="46"/>
    <col collapsed="false" customWidth="true" hidden="false" outlineLevel="0" max="5" min="5" style="0" width="52"/>
    <col collapsed="false" customWidth="true" hidden="false" outlineLevel="0" max="6" min="6" style="0" width="22"/>
  </cols>
  <sheetData>
    <row r="1" customFormat="false" ht="30" hidden="false" customHeight="true" outlineLevel="0" collapsed="false">
      <c r="A1" s="10" t="s">
        <v>587</v>
      </c>
      <c r="B1" s="10" t="s">
        <v>588</v>
      </c>
      <c r="C1" s="10" t="s">
        <v>589</v>
      </c>
      <c r="D1" s="10" t="s">
        <v>590</v>
      </c>
      <c r="E1" s="10" t="s">
        <v>591</v>
      </c>
      <c r="F1" s="10" t="s">
        <v>592</v>
      </c>
    </row>
    <row r="2" customFormat="false" ht="40.5" hidden="false" customHeight="true" outlineLevel="0" collapsed="false">
      <c r="A2" s="35" t="n">
        <v>1</v>
      </c>
      <c r="B2" s="12" t="s">
        <v>593</v>
      </c>
      <c r="C2" s="19" t="s">
        <v>594</v>
      </c>
      <c r="D2" s="12" t="s">
        <v>595</v>
      </c>
      <c r="E2" s="12" t="s">
        <v>596</v>
      </c>
      <c r="F2" s="12" t="s">
        <v>597</v>
      </c>
    </row>
    <row r="3" customFormat="false" ht="28.5" hidden="false" customHeight="true" outlineLevel="0" collapsed="false">
      <c r="A3" s="36" t="n">
        <v>5</v>
      </c>
      <c r="B3" s="15" t="s">
        <v>598</v>
      </c>
      <c r="C3" s="18" t="s">
        <v>137</v>
      </c>
      <c r="D3" s="15" t="s">
        <v>599</v>
      </c>
      <c r="E3" s="15" t="s">
        <v>600</v>
      </c>
      <c r="F3" s="15" t="s">
        <v>250</v>
      </c>
    </row>
    <row r="4" customFormat="false" ht="28.5" hidden="false" customHeight="true" outlineLevel="0" collapsed="false">
      <c r="A4" s="35" t="n">
        <v>6</v>
      </c>
      <c r="B4" s="12" t="s">
        <v>601</v>
      </c>
      <c r="C4" s="18" t="s">
        <v>137</v>
      </c>
      <c r="D4" s="12" t="s">
        <v>602</v>
      </c>
      <c r="E4" s="12" t="s">
        <v>603</v>
      </c>
      <c r="F4" s="12" t="s">
        <v>494</v>
      </c>
    </row>
    <row r="5" customFormat="false" ht="28.5" hidden="false" customHeight="true" outlineLevel="0" collapsed="false">
      <c r="A5" s="36" t="n">
        <v>8</v>
      </c>
      <c r="B5" s="15" t="s">
        <v>604</v>
      </c>
      <c r="C5" s="17" t="s">
        <v>129</v>
      </c>
      <c r="D5" s="15" t="s">
        <v>605</v>
      </c>
      <c r="E5" s="15" t="s">
        <v>606</v>
      </c>
      <c r="F5" s="15" t="s">
        <v>607</v>
      </c>
    </row>
    <row r="6" customFormat="false" ht="28.5" hidden="false" customHeight="true" outlineLevel="0" collapsed="false">
      <c r="A6" s="35" t="n">
        <v>11</v>
      </c>
      <c r="B6" s="12" t="s">
        <v>608</v>
      </c>
      <c r="C6" s="17" t="s">
        <v>129</v>
      </c>
      <c r="D6" s="12" t="s">
        <v>609</v>
      </c>
      <c r="E6" s="12" t="s">
        <v>610</v>
      </c>
      <c r="F6" s="12" t="s">
        <v>180</v>
      </c>
    </row>
    <row r="7" customFormat="false" ht="40.5" hidden="false" customHeight="true" outlineLevel="0" collapsed="false">
      <c r="A7" s="36" t="n">
        <v>12</v>
      </c>
      <c r="B7" s="15" t="s">
        <v>611</v>
      </c>
      <c r="C7" s="18" t="s">
        <v>137</v>
      </c>
      <c r="D7" s="15" t="s">
        <v>612</v>
      </c>
      <c r="E7" s="15" t="s">
        <v>613</v>
      </c>
      <c r="F7" s="15" t="s">
        <v>614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N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60"/>
    <col collapsed="false" customWidth="true" hidden="false" outlineLevel="0" max="14" min="6" style="0" width="18"/>
  </cols>
  <sheetData>
    <row r="1" customFormat="false" ht="25.5" hidden="false" customHeight="true" outlineLevel="0" collapsed="false">
      <c r="A1" s="10" t="s">
        <v>615</v>
      </c>
      <c r="B1" s="10" t="s">
        <v>616</v>
      </c>
      <c r="C1" s="10" t="s">
        <v>617</v>
      </c>
      <c r="D1" s="10" t="s">
        <v>618</v>
      </c>
      <c r="E1" s="10" t="s">
        <v>619</v>
      </c>
      <c r="F1" s="10" t="s">
        <v>620</v>
      </c>
      <c r="G1" s="10" t="s">
        <v>117</v>
      </c>
      <c r="H1" s="10" t="s">
        <v>621</v>
      </c>
      <c r="I1" s="10" t="s">
        <v>622</v>
      </c>
      <c r="J1" s="10" t="s">
        <v>623</v>
      </c>
      <c r="K1" s="10" t="s">
        <v>112</v>
      </c>
      <c r="L1" s="10" t="s">
        <v>624</v>
      </c>
      <c r="M1" s="10" t="s">
        <v>625</v>
      </c>
      <c r="N1" s="10" t="s">
        <v>626</v>
      </c>
    </row>
    <row r="2" customFormat="false" ht="12.75" hidden="false" customHeight="true" outlineLevel="0" collapsed="false">
      <c r="A2" s="37" t="n">
        <v>1</v>
      </c>
      <c r="B2" s="37" t="s">
        <v>76</v>
      </c>
      <c r="C2" s="37" t="s">
        <v>111</v>
      </c>
      <c r="D2" s="37" t="s">
        <v>627</v>
      </c>
      <c r="E2" s="38" t="s">
        <v>628</v>
      </c>
      <c r="F2" s="37" t="s">
        <v>629</v>
      </c>
      <c r="G2" s="37" t="s">
        <v>137</v>
      </c>
      <c r="H2" s="37"/>
      <c r="I2" s="37" t="s">
        <v>76</v>
      </c>
      <c r="J2" s="37"/>
      <c r="K2" s="37"/>
      <c r="L2" s="37" t="s">
        <v>375</v>
      </c>
      <c r="M2" s="37" t="s">
        <v>630</v>
      </c>
      <c r="N2" s="37"/>
    </row>
    <row r="3" customFormat="false" ht="12.75" hidden="false" customHeight="true" outlineLevel="0" collapsed="false">
      <c r="A3" s="37" t="n">
        <v>2</v>
      </c>
      <c r="B3" s="37" t="s">
        <v>80</v>
      </c>
      <c r="C3" s="37" t="s">
        <v>111</v>
      </c>
      <c r="D3" s="37" t="s">
        <v>631</v>
      </c>
      <c r="E3" s="38" t="s">
        <v>632</v>
      </c>
      <c r="F3" s="37" t="s">
        <v>629</v>
      </c>
      <c r="G3" s="37" t="s">
        <v>137</v>
      </c>
      <c r="H3" s="37"/>
      <c r="I3" s="37" t="s">
        <v>80</v>
      </c>
      <c r="J3" s="37"/>
      <c r="K3" s="37"/>
      <c r="L3" s="37" t="s">
        <v>375</v>
      </c>
      <c r="M3" s="37" t="s">
        <v>630</v>
      </c>
      <c r="N3" s="37"/>
    </row>
    <row r="4" customFormat="false" ht="12.75" hidden="false" customHeight="true" outlineLevel="0" collapsed="false">
      <c r="A4" s="37" t="n">
        <v>3</v>
      </c>
      <c r="B4" s="37" t="s">
        <v>83</v>
      </c>
      <c r="C4" s="37" t="s">
        <v>111</v>
      </c>
      <c r="D4" s="37" t="s">
        <v>633</v>
      </c>
      <c r="E4" s="38" t="s">
        <v>634</v>
      </c>
      <c r="F4" s="37" t="s">
        <v>629</v>
      </c>
      <c r="G4" s="37" t="s">
        <v>137</v>
      </c>
      <c r="H4" s="37"/>
      <c r="I4" s="37" t="s">
        <v>83</v>
      </c>
      <c r="J4" s="37"/>
      <c r="K4" s="37"/>
      <c r="L4" s="37" t="s">
        <v>375</v>
      </c>
      <c r="M4" s="37" t="s">
        <v>630</v>
      </c>
      <c r="N4" s="37"/>
    </row>
    <row r="5" customFormat="false" ht="12.75" hidden="false" customHeight="true" outlineLevel="0" collapsed="false">
      <c r="A5" s="37" t="n">
        <v>4</v>
      </c>
      <c r="B5" s="37" t="s">
        <v>87</v>
      </c>
      <c r="C5" s="37" t="s">
        <v>111</v>
      </c>
      <c r="D5" s="37" t="s">
        <v>635</v>
      </c>
      <c r="E5" s="38" t="s">
        <v>636</v>
      </c>
      <c r="F5" s="37" t="s">
        <v>629</v>
      </c>
      <c r="G5" s="37" t="s">
        <v>137</v>
      </c>
      <c r="H5" s="37"/>
      <c r="I5" s="37" t="s">
        <v>87</v>
      </c>
      <c r="J5" s="37"/>
      <c r="K5" s="37"/>
      <c r="L5" s="37" t="s">
        <v>375</v>
      </c>
      <c r="M5" s="37" t="s">
        <v>630</v>
      </c>
      <c r="N5" s="37"/>
    </row>
    <row r="6" customFormat="false" ht="12.75" hidden="false" customHeight="true" outlineLevel="0" collapsed="false">
      <c r="A6" s="37" t="n">
        <v>5</v>
      </c>
      <c r="B6" s="37" t="s">
        <v>91</v>
      </c>
      <c r="C6" s="37" t="s">
        <v>111</v>
      </c>
      <c r="D6" s="37" t="s">
        <v>637</v>
      </c>
      <c r="E6" s="38" t="s">
        <v>638</v>
      </c>
      <c r="F6" s="37" t="s">
        <v>629</v>
      </c>
      <c r="G6" s="37" t="s">
        <v>137</v>
      </c>
      <c r="H6" s="37"/>
      <c r="I6" s="37" t="s">
        <v>91</v>
      </c>
      <c r="J6" s="37"/>
      <c r="K6" s="37"/>
      <c r="L6" s="37" t="s">
        <v>375</v>
      </c>
      <c r="M6" s="37" t="s">
        <v>630</v>
      </c>
      <c r="N6" s="37"/>
    </row>
    <row r="7" customFormat="false" ht="12.75" hidden="false" customHeight="true" outlineLevel="0" collapsed="false">
      <c r="A7" s="37" t="n">
        <v>6</v>
      </c>
      <c r="B7" s="37" t="s">
        <v>95</v>
      </c>
      <c r="C7" s="37" t="s">
        <v>111</v>
      </c>
      <c r="D7" s="37" t="s">
        <v>639</v>
      </c>
      <c r="E7" s="38" t="s">
        <v>640</v>
      </c>
      <c r="F7" s="37" t="s">
        <v>629</v>
      </c>
      <c r="G7" s="37" t="s">
        <v>137</v>
      </c>
      <c r="H7" s="37"/>
      <c r="I7" s="37" t="s">
        <v>95</v>
      </c>
      <c r="J7" s="37"/>
      <c r="K7" s="37"/>
      <c r="L7" s="37" t="s">
        <v>375</v>
      </c>
      <c r="M7" s="37" t="s">
        <v>630</v>
      </c>
      <c r="N7" s="37"/>
    </row>
    <row r="8" customFormat="false" ht="12.75" hidden="false" customHeight="true" outlineLevel="0" collapsed="false">
      <c r="A8" s="37" t="n">
        <v>7</v>
      </c>
      <c r="B8" s="37" t="s">
        <v>99</v>
      </c>
      <c r="C8" s="37" t="s">
        <v>111</v>
      </c>
      <c r="D8" s="37" t="s">
        <v>641</v>
      </c>
      <c r="E8" s="38" t="s">
        <v>642</v>
      </c>
      <c r="F8" s="37" t="s">
        <v>629</v>
      </c>
      <c r="G8" s="37" t="s">
        <v>137</v>
      </c>
      <c r="H8" s="37"/>
      <c r="I8" s="37" t="s">
        <v>99</v>
      </c>
      <c r="J8" s="37"/>
      <c r="K8" s="37"/>
      <c r="L8" s="37" t="s">
        <v>375</v>
      </c>
      <c r="M8" s="37" t="s">
        <v>630</v>
      </c>
      <c r="N8" s="37"/>
    </row>
    <row r="9" customFormat="false" ht="12.75" hidden="false" customHeight="true" outlineLevel="0" collapsed="false">
      <c r="A9" s="37" t="n">
        <v>8</v>
      </c>
      <c r="B9" s="37" t="s">
        <v>103</v>
      </c>
      <c r="C9" s="37" t="s">
        <v>111</v>
      </c>
      <c r="D9" s="37" t="s">
        <v>643</v>
      </c>
      <c r="E9" s="38" t="s">
        <v>644</v>
      </c>
      <c r="F9" s="37" t="s">
        <v>629</v>
      </c>
      <c r="G9" s="37" t="s">
        <v>137</v>
      </c>
      <c r="H9" s="37"/>
      <c r="I9" s="37" t="s">
        <v>103</v>
      </c>
      <c r="J9" s="37"/>
      <c r="K9" s="37"/>
      <c r="L9" s="37" t="s">
        <v>375</v>
      </c>
      <c r="M9" s="37" t="s">
        <v>630</v>
      </c>
      <c r="N9" s="37"/>
    </row>
    <row r="10" customFormat="false" ht="12.75" hidden="false" customHeight="true" outlineLevel="0" collapsed="false">
      <c r="A10" s="37" t="n">
        <v>9</v>
      </c>
      <c r="B10" s="37" t="s">
        <v>120</v>
      </c>
      <c r="C10" s="37" t="s">
        <v>645</v>
      </c>
      <c r="D10" s="37" t="s">
        <v>646</v>
      </c>
      <c r="E10" s="38" t="s">
        <v>647</v>
      </c>
      <c r="F10" s="37" t="s">
        <v>122</v>
      </c>
      <c r="G10" s="37" t="s">
        <v>129</v>
      </c>
      <c r="H10" s="37" t="n">
        <v>3</v>
      </c>
      <c r="I10" s="37"/>
      <c r="J10" s="37" t="s">
        <v>76</v>
      </c>
      <c r="K10" s="37" t="s">
        <v>79</v>
      </c>
      <c r="L10" s="37" t="s">
        <v>375</v>
      </c>
      <c r="M10" s="37" t="s">
        <v>648</v>
      </c>
      <c r="N10" s="37"/>
    </row>
    <row r="11" customFormat="false" ht="12.75" hidden="false" customHeight="true" outlineLevel="0" collapsed="false">
      <c r="A11" s="37" t="n">
        <v>10</v>
      </c>
      <c r="B11" s="37" t="s">
        <v>132</v>
      </c>
      <c r="C11" s="37" t="s">
        <v>645</v>
      </c>
      <c r="D11" s="37" t="s">
        <v>649</v>
      </c>
      <c r="E11" s="38" t="s">
        <v>650</v>
      </c>
      <c r="F11" s="37" t="s">
        <v>122</v>
      </c>
      <c r="G11" s="37" t="s">
        <v>137</v>
      </c>
      <c r="H11" s="37" t="n">
        <v>5</v>
      </c>
      <c r="I11" s="37"/>
      <c r="J11" s="37" t="s">
        <v>76</v>
      </c>
      <c r="K11" s="37" t="s">
        <v>79</v>
      </c>
      <c r="L11" s="37" t="s">
        <v>375</v>
      </c>
      <c r="M11" s="37" t="s">
        <v>648</v>
      </c>
      <c r="N11" s="37" t="s">
        <v>651</v>
      </c>
    </row>
    <row r="12" customFormat="false" ht="12.75" hidden="false" customHeight="true" outlineLevel="0" collapsed="false">
      <c r="A12" s="37" t="n">
        <v>11</v>
      </c>
      <c r="B12" s="37" t="s">
        <v>138</v>
      </c>
      <c r="C12" s="37" t="s">
        <v>645</v>
      </c>
      <c r="D12" s="37" t="s">
        <v>652</v>
      </c>
      <c r="E12" s="38" t="s">
        <v>653</v>
      </c>
      <c r="F12" s="37" t="s">
        <v>122</v>
      </c>
      <c r="G12" s="37" t="s">
        <v>137</v>
      </c>
      <c r="H12" s="37" t="n">
        <v>8</v>
      </c>
      <c r="I12" s="37"/>
      <c r="J12" s="37" t="s">
        <v>76</v>
      </c>
      <c r="K12" s="37" t="s">
        <v>79</v>
      </c>
      <c r="L12" s="37" t="s">
        <v>375</v>
      </c>
      <c r="M12" s="37" t="s">
        <v>648</v>
      </c>
      <c r="N12" s="37" t="s">
        <v>654</v>
      </c>
    </row>
    <row r="13" customFormat="false" ht="12.75" hidden="false" customHeight="true" outlineLevel="0" collapsed="false">
      <c r="A13" s="37" t="n">
        <v>12</v>
      </c>
      <c r="B13" s="37" t="s">
        <v>144</v>
      </c>
      <c r="C13" s="37" t="s">
        <v>645</v>
      </c>
      <c r="D13" s="37" t="s">
        <v>655</v>
      </c>
      <c r="E13" s="38" t="s">
        <v>656</v>
      </c>
      <c r="F13" s="37" t="s">
        <v>122</v>
      </c>
      <c r="G13" s="37" t="s">
        <v>129</v>
      </c>
      <c r="H13" s="37" t="n">
        <v>3</v>
      </c>
      <c r="I13" s="37"/>
      <c r="J13" s="37" t="s">
        <v>76</v>
      </c>
      <c r="K13" s="37" t="s">
        <v>79</v>
      </c>
      <c r="L13" s="37" t="s">
        <v>375</v>
      </c>
      <c r="M13" s="37" t="s">
        <v>648</v>
      </c>
      <c r="N13" s="37"/>
    </row>
    <row r="14" customFormat="false" ht="12.75" hidden="false" customHeight="true" outlineLevel="0" collapsed="false">
      <c r="A14" s="37" t="n">
        <v>13</v>
      </c>
      <c r="B14" s="37" t="s">
        <v>150</v>
      </c>
      <c r="C14" s="37" t="s">
        <v>645</v>
      </c>
      <c r="D14" s="37" t="s">
        <v>657</v>
      </c>
      <c r="E14" s="38" t="s">
        <v>658</v>
      </c>
      <c r="F14" s="37" t="s">
        <v>151</v>
      </c>
      <c r="G14" s="37" t="s">
        <v>137</v>
      </c>
      <c r="H14" s="37" t="n">
        <v>5</v>
      </c>
      <c r="I14" s="37"/>
      <c r="J14" s="37" t="s">
        <v>80</v>
      </c>
      <c r="K14" s="37" t="s">
        <v>79</v>
      </c>
      <c r="L14" s="37" t="s">
        <v>375</v>
      </c>
      <c r="M14" s="37" t="s">
        <v>648</v>
      </c>
      <c r="N14" s="37"/>
    </row>
    <row r="15" customFormat="false" ht="12.75" hidden="false" customHeight="true" outlineLevel="0" collapsed="false">
      <c r="A15" s="37" t="n">
        <v>14</v>
      </c>
      <c r="B15" s="37" t="s">
        <v>157</v>
      </c>
      <c r="C15" s="37" t="s">
        <v>645</v>
      </c>
      <c r="D15" s="37" t="s">
        <v>659</v>
      </c>
      <c r="E15" s="38" t="s">
        <v>660</v>
      </c>
      <c r="F15" s="37" t="s">
        <v>151</v>
      </c>
      <c r="G15" s="37" t="s">
        <v>137</v>
      </c>
      <c r="H15" s="37" t="n">
        <v>5</v>
      </c>
      <c r="I15" s="37"/>
      <c r="J15" s="37" t="s">
        <v>80</v>
      </c>
      <c r="K15" s="37" t="s">
        <v>79</v>
      </c>
      <c r="L15" s="37" t="s">
        <v>375</v>
      </c>
      <c r="M15" s="37" t="s">
        <v>648</v>
      </c>
      <c r="N15" s="37" t="s">
        <v>661</v>
      </c>
    </row>
    <row r="16" customFormat="false" ht="12.75" hidden="false" customHeight="true" outlineLevel="0" collapsed="false">
      <c r="A16" s="37" t="n">
        <v>15</v>
      </c>
      <c r="B16" s="37" t="s">
        <v>163</v>
      </c>
      <c r="C16" s="37" t="s">
        <v>645</v>
      </c>
      <c r="D16" s="37" t="s">
        <v>662</v>
      </c>
      <c r="E16" s="38" t="s">
        <v>663</v>
      </c>
      <c r="F16" s="37" t="s">
        <v>151</v>
      </c>
      <c r="G16" s="37" t="s">
        <v>129</v>
      </c>
      <c r="H16" s="37" t="n">
        <v>5</v>
      </c>
      <c r="I16" s="37"/>
      <c r="J16" s="37" t="s">
        <v>80</v>
      </c>
      <c r="K16" s="37" t="s">
        <v>79</v>
      </c>
      <c r="L16" s="37" t="s">
        <v>375</v>
      </c>
      <c r="M16" s="37" t="s">
        <v>648</v>
      </c>
      <c r="N16" s="37" t="s">
        <v>664</v>
      </c>
    </row>
    <row r="17" customFormat="false" ht="12.75" hidden="false" customHeight="true" outlineLevel="0" collapsed="false">
      <c r="A17" s="37" t="n">
        <v>16</v>
      </c>
      <c r="B17" s="37" t="s">
        <v>169</v>
      </c>
      <c r="C17" s="37" t="s">
        <v>645</v>
      </c>
      <c r="D17" s="37" t="s">
        <v>665</v>
      </c>
      <c r="E17" s="38" t="s">
        <v>666</v>
      </c>
      <c r="F17" s="37" t="s">
        <v>84</v>
      </c>
      <c r="G17" s="37" t="s">
        <v>129</v>
      </c>
      <c r="H17" s="37" t="n">
        <v>5</v>
      </c>
      <c r="I17" s="37"/>
      <c r="J17" s="37" t="s">
        <v>83</v>
      </c>
      <c r="K17" s="37" t="s">
        <v>86</v>
      </c>
      <c r="L17" s="37" t="s">
        <v>375</v>
      </c>
      <c r="M17" s="37" t="s">
        <v>667</v>
      </c>
      <c r="N17" s="37"/>
    </row>
    <row r="18" customFormat="false" ht="12.75" hidden="false" customHeight="true" outlineLevel="0" collapsed="false">
      <c r="A18" s="37" t="n">
        <v>17</v>
      </c>
      <c r="B18" s="37" t="s">
        <v>175</v>
      </c>
      <c r="C18" s="37" t="s">
        <v>645</v>
      </c>
      <c r="D18" s="37" t="s">
        <v>668</v>
      </c>
      <c r="E18" s="38" t="s">
        <v>669</v>
      </c>
      <c r="F18" s="37" t="s">
        <v>84</v>
      </c>
      <c r="G18" s="37" t="s">
        <v>129</v>
      </c>
      <c r="H18" s="37" t="n">
        <v>5</v>
      </c>
      <c r="I18" s="37"/>
      <c r="J18" s="37" t="s">
        <v>83</v>
      </c>
      <c r="K18" s="37" t="s">
        <v>86</v>
      </c>
      <c r="L18" s="37" t="s">
        <v>375</v>
      </c>
      <c r="M18" s="37" t="s">
        <v>667</v>
      </c>
      <c r="N18" s="37" t="s">
        <v>670</v>
      </c>
    </row>
    <row r="19" customFormat="false" ht="12.75" hidden="false" customHeight="true" outlineLevel="0" collapsed="false">
      <c r="A19" s="37" t="n">
        <v>18</v>
      </c>
      <c r="B19" s="37" t="s">
        <v>180</v>
      </c>
      <c r="C19" s="37" t="s">
        <v>645</v>
      </c>
      <c r="D19" s="37" t="s">
        <v>671</v>
      </c>
      <c r="E19" s="38" t="s">
        <v>672</v>
      </c>
      <c r="F19" s="37" t="s">
        <v>88</v>
      </c>
      <c r="G19" s="37" t="s">
        <v>137</v>
      </c>
      <c r="H19" s="37" t="n">
        <v>5</v>
      </c>
      <c r="I19" s="37"/>
      <c r="J19" s="37" t="s">
        <v>87</v>
      </c>
      <c r="K19" s="37" t="s">
        <v>86</v>
      </c>
      <c r="L19" s="37" t="s">
        <v>375</v>
      </c>
      <c r="M19" s="37" t="s">
        <v>667</v>
      </c>
      <c r="N19" s="37"/>
    </row>
    <row r="20" customFormat="false" ht="12.75" hidden="false" customHeight="true" outlineLevel="0" collapsed="false">
      <c r="A20" s="37" t="n">
        <v>19</v>
      </c>
      <c r="B20" s="37" t="s">
        <v>186</v>
      </c>
      <c r="C20" s="37" t="s">
        <v>645</v>
      </c>
      <c r="D20" s="37" t="s">
        <v>673</v>
      </c>
      <c r="E20" s="38" t="s">
        <v>674</v>
      </c>
      <c r="F20" s="37" t="s">
        <v>88</v>
      </c>
      <c r="G20" s="37" t="s">
        <v>137</v>
      </c>
      <c r="H20" s="37" t="n">
        <v>8</v>
      </c>
      <c r="I20" s="37"/>
      <c r="J20" s="37" t="s">
        <v>87</v>
      </c>
      <c r="K20" s="37" t="s">
        <v>86</v>
      </c>
      <c r="L20" s="37" t="s">
        <v>375</v>
      </c>
      <c r="M20" s="37" t="s">
        <v>667</v>
      </c>
      <c r="N20" s="37" t="s">
        <v>675</v>
      </c>
    </row>
    <row r="21" customFormat="false" ht="12.75" hidden="false" customHeight="true" outlineLevel="0" collapsed="false">
      <c r="A21" s="37" t="n">
        <v>20</v>
      </c>
      <c r="B21" s="37" t="s">
        <v>190</v>
      </c>
      <c r="C21" s="37" t="s">
        <v>645</v>
      </c>
      <c r="D21" s="37" t="s">
        <v>676</v>
      </c>
      <c r="E21" s="38" t="s">
        <v>677</v>
      </c>
      <c r="F21" s="37" t="s">
        <v>88</v>
      </c>
      <c r="G21" s="37" t="s">
        <v>129</v>
      </c>
      <c r="H21" s="37" t="n">
        <v>8</v>
      </c>
      <c r="I21" s="37"/>
      <c r="J21" s="37" t="s">
        <v>87</v>
      </c>
      <c r="K21" s="37" t="s">
        <v>86</v>
      </c>
      <c r="L21" s="37" t="s">
        <v>375</v>
      </c>
      <c r="M21" s="37" t="s">
        <v>667</v>
      </c>
      <c r="N21" s="37" t="s">
        <v>675</v>
      </c>
    </row>
    <row r="22" customFormat="false" ht="12.75" hidden="false" customHeight="true" outlineLevel="0" collapsed="false">
      <c r="A22" s="37" t="n">
        <v>21</v>
      </c>
      <c r="B22" s="37" t="s">
        <v>194</v>
      </c>
      <c r="C22" s="37" t="s">
        <v>645</v>
      </c>
      <c r="D22" s="37" t="s">
        <v>678</v>
      </c>
      <c r="E22" s="38" t="s">
        <v>679</v>
      </c>
      <c r="F22" s="37" t="s">
        <v>88</v>
      </c>
      <c r="G22" s="37" t="s">
        <v>129</v>
      </c>
      <c r="H22" s="37" t="n">
        <v>5</v>
      </c>
      <c r="I22" s="37"/>
      <c r="J22" s="37" t="s">
        <v>87</v>
      </c>
      <c r="K22" s="37" t="s">
        <v>94</v>
      </c>
      <c r="L22" s="37" t="s">
        <v>375</v>
      </c>
      <c r="M22" s="37" t="s">
        <v>680</v>
      </c>
      <c r="N22" s="37" t="s">
        <v>675</v>
      </c>
    </row>
    <row r="23" customFormat="false" ht="12.75" hidden="false" customHeight="true" outlineLevel="0" collapsed="false">
      <c r="A23" s="37" t="n">
        <v>22</v>
      </c>
      <c r="B23" s="37" t="s">
        <v>200</v>
      </c>
      <c r="C23" s="37" t="s">
        <v>645</v>
      </c>
      <c r="D23" s="37" t="s">
        <v>681</v>
      </c>
      <c r="E23" s="38" t="s">
        <v>682</v>
      </c>
      <c r="F23" s="37" t="s">
        <v>201</v>
      </c>
      <c r="G23" s="37" t="s">
        <v>129</v>
      </c>
      <c r="H23" s="37" t="n">
        <v>5</v>
      </c>
      <c r="I23" s="37"/>
      <c r="J23" s="37" t="s">
        <v>91</v>
      </c>
      <c r="K23" s="37" t="s">
        <v>94</v>
      </c>
      <c r="L23" s="37" t="s">
        <v>375</v>
      </c>
      <c r="M23" s="37" t="s">
        <v>680</v>
      </c>
      <c r="N23" s="37"/>
    </row>
    <row r="24" customFormat="false" ht="12.75" hidden="false" customHeight="true" outlineLevel="0" collapsed="false">
      <c r="A24" s="37" t="n">
        <v>23</v>
      </c>
      <c r="B24" s="37" t="s">
        <v>207</v>
      </c>
      <c r="C24" s="37" t="s">
        <v>645</v>
      </c>
      <c r="D24" s="37" t="s">
        <v>683</v>
      </c>
      <c r="E24" s="38" t="s">
        <v>684</v>
      </c>
      <c r="F24" s="37" t="s">
        <v>201</v>
      </c>
      <c r="G24" s="37" t="s">
        <v>137</v>
      </c>
      <c r="H24" s="37" t="n">
        <v>5</v>
      </c>
      <c r="I24" s="37"/>
      <c r="J24" s="37" t="s">
        <v>91</v>
      </c>
      <c r="K24" s="37" t="s">
        <v>94</v>
      </c>
      <c r="L24" s="37" t="s">
        <v>375</v>
      </c>
      <c r="M24" s="37" t="s">
        <v>680</v>
      </c>
      <c r="N24" s="37"/>
    </row>
    <row r="25" customFormat="false" ht="12.75" hidden="false" customHeight="true" outlineLevel="0" collapsed="false">
      <c r="A25" s="37" t="n">
        <v>24</v>
      </c>
      <c r="B25" s="37" t="s">
        <v>213</v>
      </c>
      <c r="C25" s="37" t="s">
        <v>645</v>
      </c>
      <c r="D25" s="37" t="s">
        <v>685</v>
      </c>
      <c r="E25" s="38" t="s">
        <v>686</v>
      </c>
      <c r="F25" s="37" t="s">
        <v>201</v>
      </c>
      <c r="G25" s="37" t="s">
        <v>129</v>
      </c>
      <c r="H25" s="37" t="n">
        <v>3</v>
      </c>
      <c r="I25" s="37"/>
      <c r="J25" s="37" t="s">
        <v>91</v>
      </c>
      <c r="K25" s="37" t="s">
        <v>94</v>
      </c>
      <c r="L25" s="37" t="s">
        <v>375</v>
      </c>
      <c r="M25" s="37" t="s">
        <v>680</v>
      </c>
      <c r="N25" s="37"/>
    </row>
    <row r="26" customFormat="false" ht="12.75" hidden="false" customHeight="true" outlineLevel="0" collapsed="false">
      <c r="A26" s="37" t="n">
        <v>25</v>
      </c>
      <c r="B26" s="37" t="s">
        <v>218</v>
      </c>
      <c r="C26" s="37" t="s">
        <v>645</v>
      </c>
      <c r="D26" s="37" t="s">
        <v>687</v>
      </c>
      <c r="E26" s="38" t="s">
        <v>688</v>
      </c>
      <c r="F26" s="37" t="s">
        <v>219</v>
      </c>
      <c r="G26" s="37" t="s">
        <v>129</v>
      </c>
      <c r="H26" s="37" t="n">
        <v>8</v>
      </c>
      <c r="I26" s="37"/>
      <c r="J26" s="37" t="s">
        <v>95</v>
      </c>
      <c r="K26" s="37" t="s">
        <v>98</v>
      </c>
      <c r="L26" s="37" t="s">
        <v>375</v>
      </c>
      <c r="M26" s="37" t="s">
        <v>689</v>
      </c>
      <c r="N26" s="37"/>
    </row>
    <row r="27" customFormat="false" ht="12.75" hidden="false" customHeight="true" outlineLevel="0" collapsed="false">
      <c r="A27" s="37" t="n">
        <v>26</v>
      </c>
      <c r="B27" s="37" t="s">
        <v>225</v>
      </c>
      <c r="C27" s="37" t="s">
        <v>645</v>
      </c>
      <c r="D27" s="37" t="s">
        <v>690</v>
      </c>
      <c r="E27" s="38" t="s">
        <v>691</v>
      </c>
      <c r="F27" s="37" t="s">
        <v>219</v>
      </c>
      <c r="G27" s="37" t="s">
        <v>129</v>
      </c>
      <c r="H27" s="37" t="n">
        <v>5</v>
      </c>
      <c r="I27" s="37"/>
      <c r="J27" s="37" t="s">
        <v>95</v>
      </c>
      <c r="K27" s="37" t="s">
        <v>98</v>
      </c>
      <c r="L27" s="37" t="s">
        <v>375</v>
      </c>
      <c r="M27" s="37" t="s">
        <v>689</v>
      </c>
      <c r="N27" s="37" t="s">
        <v>70</v>
      </c>
    </row>
    <row r="28" customFormat="false" ht="12.75" hidden="false" customHeight="true" outlineLevel="0" collapsed="false">
      <c r="A28" s="37" t="n">
        <v>27</v>
      </c>
      <c r="B28" s="37" t="s">
        <v>230</v>
      </c>
      <c r="C28" s="37" t="s">
        <v>645</v>
      </c>
      <c r="D28" s="37" t="s">
        <v>692</v>
      </c>
      <c r="E28" s="38" t="s">
        <v>693</v>
      </c>
      <c r="F28" s="37" t="s">
        <v>219</v>
      </c>
      <c r="G28" s="37" t="s">
        <v>129</v>
      </c>
      <c r="H28" s="37" t="n">
        <v>5</v>
      </c>
      <c r="I28" s="37"/>
      <c r="J28" s="37" t="s">
        <v>95</v>
      </c>
      <c r="K28" s="37" t="s">
        <v>98</v>
      </c>
      <c r="L28" s="37" t="s">
        <v>375</v>
      </c>
      <c r="M28" s="37" t="s">
        <v>689</v>
      </c>
      <c r="N28" s="37"/>
    </row>
    <row r="29" customFormat="false" ht="12.75" hidden="false" customHeight="true" outlineLevel="0" collapsed="false">
      <c r="A29" s="37" t="n">
        <v>28</v>
      </c>
      <c r="B29" s="37" t="s">
        <v>235</v>
      </c>
      <c r="C29" s="37" t="s">
        <v>645</v>
      </c>
      <c r="D29" s="37" t="s">
        <v>694</v>
      </c>
      <c r="E29" s="38" t="s">
        <v>695</v>
      </c>
      <c r="F29" s="37" t="s">
        <v>696</v>
      </c>
      <c r="G29" s="37" t="s">
        <v>239</v>
      </c>
      <c r="H29" s="37" t="n">
        <v>8</v>
      </c>
      <c r="I29" s="37"/>
      <c r="J29" s="37" t="s">
        <v>99</v>
      </c>
      <c r="K29" s="37" t="s">
        <v>94</v>
      </c>
      <c r="L29" s="37" t="s">
        <v>375</v>
      </c>
      <c r="M29" s="37" t="s">
        <v>680</v>
      </c>
      <c r="N29" s="37" t="s">
        <v>675</v>
      </c>
    </row>
    <row r="30" customFormat="false" ht="12.75" hidden="false" customHeight="true" outlineLevel="0" collapsed="false">
      <c r="A30" s="37" t="n">
        <v>29</v>
      </c>
      <c r="B30" s="37" t="s">
        <v>240</v>
      </c>
      <c r="C30" s="37" t="s">
        <v>645</v>
      </c>
      <c r="D30" s="37" t="s">
        <v>697</v>
      </c>
      <c r="E30" s="38" t="s">
        <v>698</v>
      </c>
      <c r="F30" s="37" t="s">
        <v>696</v>
      </c>
      <c r="G30" s="37" t="s">
        <v>239</v>
      </c>
      <c r="H30" s="37" t="n">
        <v>8</v>
      </c>
      <c r="I30" s="37"/>
      <c r="J30" s="37" t="s">
        <v>99</v>
      </c>
      <c r="K30" s="37" t="s">
        <v>94</v>
      </c>
      <c r="L30" s="37" t="s">
        <v>375</v>
      </c>
      <c r="M30" s="37" t="s">
        <v>680</v>
      </c>
      <c r="N30" s="37"/>
    </row>
    <row r="31" customFormat="false" ht="12.75" hidden="false" customHeight="true" outlineLevel="0" collapsed="false">
      <c r="A31" s="37" t="n">
        <v>30</v>
      </c>
      <c r="B31" s="37" t="s">
        <v>245</v>
      </c>
      <c r="C31" s="37" t="s">
        <v>645</v>
      </c>
      <c r="D31" s="37" t="s">
        <v>699</v>
      </c>
      <c r="E31" s="38" t="s">
        <v>700</v>
      </c>
      <c r="F31" s="37" t="s">
        <v>696</v>
      </c>
      <c r="G31" s="37" t="s">
        <v>239</v>
      </c>
      <c r="H31" s="37" t="n">
        <v>8</v>
      </c>
      <c r="I31" s="37"/>
      <c r="J31" s="37" t="s">
        <v>99</v>
      </c>
      <c r="K31" s="37" t="s">
        <v>98</v>
      </c>
      <c r="L31" s="37" t="s">
        <v>375</v>
      </c>
      <c r="M31" s="37" t="s">
        <v>689</v>
      </c>
      <c r="N31" s="37"/>
    </row>
    <row r="32" customFormat="false" ht="12.75" hidden="false" customHeight="true" outlineLevel="0" collapsed="false">
      <c r="A32" s="37" t="n">
        <v>31</v>
      </c>
      <c r="B32" s="37" t="s">
        <v>250</v>
      </c>
      <c r="C32" s="37" t="s">
        <v>645</v>
      </c>
      <c r="D32" s="37" t="s">
        <v>701</v>
      </c>
      <c r="E32" s="38" t="s">
        <v>702</v>
      </c>
      <c r="F32" s="37" t="s">
        <v>696</v>
      </c>
      <c r="G32" s="37" t="s">
        <v>239</v>
      </c>
      <c r="H32" s="37" t="n">
        <v>8</v>
      </c>
      <c r="I32" s="37"/>
      <c r="J32" s="37" t="s">
        <v>99</v>
      </c>
      <c r="K32" s="37" t="s">
        <v>98</v>
      </c>
      <c r="L32" s="37" t="s">
        <v>375</v>
      </c>
      <c r="M32" s="37" t="s">
        <v>689</v>
      </c>
      <c r="N32" s="37" t="s">
        <v>703</v>
      </c>
    </row>
    <row r="33" customFormat="false" ht="12.75" hidden="false" customHeight="true" outlineLevel="0" collapsed="false">
      <c r="A33" s="37" t="n">
        <v>32</v>
      </c>
      <c r="B33" s="37" t="s">
        <v>254</v>
      </c>
      <c r="C33" s="37" t="s">
        <v>645</v>
      </c>
      <c r="D33" s="37" t="s">
        <v>704</v>
      </c>
      <c r="E33" s="38" t="s">
        <v>705</v>
      </c>
      <c r="F33" s="37" t="s">
        <v>696</v>
      </c>
      <c r="G33" s="37" t="s">
        <v>239</v>
      </c>
      <c r="H33" s="37" t="n">
        <v>5</v>
      </c>
      <c r="I33" s="37"/>
      <c r="J33" s="37" t="s">
        <v>99</v>
      </c>
      <c r="K33" s="37" t="s">
        <v>256</v>
      </c>
      <c r="L33" s="37" t="s">
        <v>375</v>
      </c>
      <c r="M33" s="37" t="s">
        <v>706</v>
      </c>
      <c r="N33" s="37" t="s">
        <v>707</v>
      </c>
    </row>
    <row r="34" customFormat="false" ht="12.75" hidden="false" customHeight="true" outlineLevel="0" collapsed="false">
      <c r="A34" s="37" t="n">
        <v>33</v>
      </c>
      <c r="B34" s="37" t="s">
        <v>259</v>
      </c>
      <c r="C34" s="37" t="s">
        <v>645</v>
      </c>
      <c r="D34" s="37" t="s">
        <v>708</v>
      </c>
      <c r="E34" s="38" t="s">
        <v>709</v>
      </c>
      <c r="F34" s="37" t="s">
        <v>261</v>
      </c>
      <c r="G34" s="37" t="s">
        <v>129</v>
      </c>
      <c r="H34" s="37" t="n">
        <v>5</v>
      </c>
      <c r="I34" s="37"/>
      <c r="J34" s="37" t="s">
        <v>103</v>
      </c>
      <c r="K34" s="37" t="s">
        <v>79</v>
      </c>
      <c r="L34" s="37" t="s">
        <v>375</v>
      </c>
      <c r="M34" s="37" t="s">
        <v>710</v>
      </c>
      <c r="N34" s="37" t="s">
        <v>661</v>
      </c>
    </row>
    <row r="35" customFormat="false" ht="12.75" hidden="false" customHeight="true" outlineLevel="0" collapsed="false">
      <c r="A35" s="37" t="n">
        <v>34</v>
      </c>
      <c r="B35" s="37" t="s">
        <v>265</v>
      </c>
      <c r="C35" s="37" t="s">
        <v>645</v>
      </c>
      <c r="D35" s="37" t="s">
        <v>711</v>
      </c>
      <c r="E35" s="38" t="s">
        <v>712</v>
      </c>
      <c r="F35" s="37" t="s">
        <v>261</v>
      </c>
      <c r="G35" s="37" t="s">
        <v>129</v>
      </c>
      <c r="H35" s="37" t="n">
        <v>5</v>
      </c>
      <c r="I35" s="37"/>
      <c r="J35" s="37" t="s">
        <v>103</v>
      </c>
      <c r="K35" s="37" t="s">
        <v>86</v>
      </c>
      <c r="L35" s="37" t="s">
        <v>375</v>
      </c>
      <c r="M35" s="37" t="s">
        <v>713</v>
      </c>
      <c r="N35" s="37" t="s">
        <v>714</v>
      </c>
    </row>
    <row r="36" customFormat="false" ht="12.75" hidden="false" customHeight="true" outlineLevel="0" collapsed="false">
      <c r="A36" s="37" t="n">
        <v>35</v>
      </c>
      <c r="B36" s="37" t="s">
        <v>270</v>
      </c>
      <c r="C36" s="37" t="s">
        <v>645</v>
      </c>
      <c r="D36" s="37" t="s">
        <v>715</v>
      </c>
      <c r="E36" s="38" t="s">
        <v>716</v>
      </c>
      <c r="F36" s="37" t="s">
        <v>271</v>
      </c>
      <c r="G36" s="37" t="s">
        <v>129</v>
      </c>
      <c r="H36" s="37" t="n">
        <v>5</v>
      </c>
      <c r="I36" s="37"/>
      <c r="J36" s="37" t="s">
        <v>103</v>
      </c>
      <c r="K36" s="37" t="s">
        <v>79</v>
      </c>
      <c r="L36" s="37" t="s">
        <v>375</v>
      </c>
      <c r="M36" s="37" t="s">
        <v>710</v>
      </c>
      <c r="N36" s="37" t="s">
        <v>661</v>
      </c>
    </row>
    <row r="37" customFormat="false" ht="12.75" hidden="false" customHeight="true" outlineLevel="0" collapsed="false">
      <c r="A37" s="37" t="n">
        <v>36</v>
      </c>
      <c r="B37" s="37" t="s">
        <v>275</v>
      </c>
      <c r="C37" s="37" t="s">
        <v>645</v>
      </c>
      <c r="D37" s="37" t="s">
        <v>717</v>
      </c>
      <c r="E37" s="38" t="s">
        <v>718</v>
      </c>
      <c r="F37" s="37" t="s">
        <v>271</v>
      </c>
      <c r="G37" s="37" t="s">
        <v>279</v>
      </c>
      <c r="H37" s="37" t="n">
        <v>3</v>
      </c>
      <c r="I37" s="37"/>
      <c r="J37" s="37" t="s">
        <v>103</v>
      </c>
      <c r="K37" s="37" t="s">
        <v>86</v>
      </c>
      <c r="L37" s="37" t="s">
        <v>375</v>
      </c>
      <c r="M37" s="37" t="s">
        <v>713</v>
      </c>
      <c r="N37" s="37" t="s">
        <v>670</v>
      </c>
    </row>
    <row r="38" customFormat="false" ht="12.75" hidden="false" customHeight="true" outlineLevel="0" collapsed="false">
      <c r="A38" s="37" t="n">
        <v>37</v>
      </c>
      <c r="B38" s="37" t="s">
        <v>280</v>
      </c>
      <c r="C38" s="37" t="s">
        <v>645</v>
      </c>
      <c r="D38" s="37" t="s">
        <v>719</v>
      </c>
      <c r="E38" s="38" t="s">
        <v>720</v>
      </c>
      <c r="F38" s="37" t="s">
        <v>281</v>
      </c>
      <c r="G38" s="37" t="s">
        <v>137</v>
      </c>
      <c r="H38" s="37" t="n">
        <v>8</v>
      </c>
      <c r="I38" s="37"/>
      <c r="J38" s="37" t="s">
        <v>103</v>
      </c>
      <c r="K38" s="37" t="s">
        <v>79</v>
      </c>
      <c r="L38" s="37" t="s">
        <v>375</v>
      </c>
      <c r="M38" s="37" t="s">
        <v>710</v>
      </c>
      <c r="N38" s="37" t="s">
        <v>721</v>
      </c>
    </row>
    <row r="39" customFormat="false" ht="12.75" hidden="false" customHeight="true" outlineLevel="0" collapsed="false">
      <c r="A39" s="37" t="n">
        <v>38</v>
      </c>
      <c r="B39" s="37" t="s">
        <v>286</v>
      </c>
      <c r="C39" s="37" t="s">
        <v>645</v>
      </c>
      <c r="D39" s="37" t="s">
        <v>722</v>
      </c>
      <c r="E39" s="38" t="s">
        <v>723</v>
      </c>
      <c r="F39" s="37" t="s">
        <v>281</v>
      </c>
      <c r="G39" s="37" t="s">
        <v>137</v>
      </c>
      <c r="H39" s="37" t="n">
        <v>5</v>
      </c>
      <c r="I39" s="37"/>
      <c r="J39" s="37" t="s">
        <v>103</v>
      </c>
      <c r="K39" s="37" t="s">
        <v>79</v>
      </c>
      <c r="L39" s="37" t="s">
        <v>375</v>
      </c>
      <c r="M39" s="37" t="s">
        <v>710</v>
      </c>
      <c r="N39" s="37" t="s">
        <v>724</v>
      </c>
    </row>
    <row r="40" customFormat="false" ht="12.75" hidden="false" customHeight="true" outlineLevel="0" collapsed="false">
      <c r="A40" s="37" t="n">
        <v>39</v>
      </c>
      <c r="B40" s="37" t="s">
        <v>290</v>
      </c>
      <c r="C40" s="37" t="s">
        <v>645</v>
      </c>
      <c r="D40" s="37" t="s">
        <v>725</v>
      </c>
      <c r="E40" s="38" t="s">
        <v>726</v>
      </c>
      <c r="F40" s="37" t="s">
        <v>281</v>
      </c>
      <c r="G40" s="37" t="s">
        <v>137</v>
      </c>
      <c r="H40" s="37" t="n">
        <v>8</v>
      </c>
      <c r="I40" s="37"/>
      <c r="J40" s="37" t="s">
        <v>103</v>
      </c>
      <c r="K40" s="37" t="s">
        <v>86</v>
      </c>
      <c r="L40" s="37" t="s">
        <v>375</v>
      </c>
      <c r="M40" s="37" t="s">
        <v>713</v>
      </c>
      <c r="N40" s="37" t="s">
        <v>727</v>
      </c>
    </row>
    <row r="41" customFormat="false" ht="12.75" hidden="false" customHeight="true" outlineLevel="0" collapsed="false">
      <c r="A41" s="37" t="n">
        <v>40</v>
      </c>
      <c r="B41" s="37" t="s">
        <v>294</v>
      </c>
      <c r="C41" s="37" t="s">
        <v>645</v>
      </c>
      <c r="D41" s="37" t="s">
        <v>728</v>
      </c>
      <c r="E41" s="38" t="s">
        <v>729</v>
      </c>
      <c r="F41" s="37" t="s">
        <v>281</v>
      </c>
      <c r="G41" s="37" t="s">
        <v>279</v>
      </c>
      <c r="H41" s="37" t="n">
        <v>3</v>
      </c>
      <c r="I41" s="37"/>
      <c r="J41" s="37" t="s">
        <v>103</v>
      </c>
      <c r="K41" s="37" t="s">
        <v>86</v>
      </c>
      <c r="L41" s="37" t="s">
        <v>375</v>
      </c>
      <c r="M41" s="37" t="s">
        <v>713</v>
      </c>
      <c r="N41" s="37" t="s">
        <v>730</v>
      </c>
    </row>
    <row r="42" customFormat="false" ht="12.75" hidden="false" customHeight="true" outlineLevel="0" collapsed="false">
      <c r="A42" s="37" t="n">
        <v>41</v>
      </c>
      <c r="B42" s="37" t="s">
        <v>298</v>
      </c>
      <c r="C42" s="37" t="s">
        <v>645</v>
      </c>
      <c r="D42" s="37" t="s">
        <v>731</v>
      </c>
      <c r="E42" s="38" t="s">
        <v>732</v>
      </c>
      <c r="F42" s="37" t="s">
        <v>299</v>
      </c>
      <c r="G42" s="37" t="s">
        <v>137</v>
      </c>
      <c r="H42" s="37" t="n">
        <v>8</v>
      </c>
      <c r="I42" s="37"/>
      <c r="J42" s="37" t="s">
        <v>103</v>
      </c>
      <c r="K42" s="37" t="s">
        <v>94</v>
      </c>
      <c r="L42" s="37" t="s">
        <v>375</v>
      </c>
      <c r="M42" s="37" t="s">
        <v>733</v>
      </c>
      <c r="N42" s="37" t="s">
        <v>734</v>
      </c>
    </row>
    <row r="43" customFormat="false" ht="12.75" hidden="false" customHeight="true" outlineLevel="0" collapsed="false">
      <c r="A43" s="37" t="n">
        <v>42</v>
      </c>
      <c r="B43" s="37" t="s">
        <v>303</v>
      </c>
      <c r="C43" s="37" t="s">
        <v>645</v>
      </c>
      <c r="D43" s="37" t="s">
        <v>735</v>
      </c>
      <c r="E43" s="38" t="s">
        <v>736</v>
      </c>
      <c r="F43" s="37" t="s">
        <v>299</v>
      </c>
      <c r="G43" s="37" t="s">
        <v>129</v>
      </c>
      <c r="H43" s="37" t="n">
        <v>5</v>
      </c>
      <c r="I43" s="37"/>
      <c r="J43" s="37" t="s">
        <v>103</v>
      </c>
      <c r="K43" s="37" t="s">
        <v>94</v>
      </c>
      <c r="L43" s="37" t="s">
        <v>375</v>
      </c>
      <c r="M43" s="37" t="s">
        <v>733</v>
      </c>
      <c r="N43" s="37" t="s">
        <v>737</v>
      </c>
    </row>
    <row r="44" customFormat="false" ht="12.75" hidden="false" customHeight="true" outlineLevel="0" collapsed="false">
      <c r="A44" s="37" t="n">
        <v>43</v>
      </c>
      <c r="B44" s="37" t="s">
        <v>308</v>
      </c>
      <c r="C44" s="37" t="s">
        <v>645</v>
      </c>
      <c r="D44" s="37" t="s">
        <v>738</v>
      </c>
      <c r="E44" s="38" t="s">
        <v>739</v>
      </c>
      <c r="F44" s="37" t="s">
        <v>299</v>
      </c>
      <c r="G44" s="37" t="s">
        <v>129</v>
      </c>
      <c r="H44" s="37" t="n">
        <v>5</v>
      </c>
      <c r="I44" s="37"/>
      <c r="J44" s="37" t="s">
        <v>103</v>
      </c>
      <c r="K44" s="37" t="s">
        <v>98</v>
      </c>
      <c r="L44" s="37" t="s">
        <v>375</v>
      </c>
      <c r="M44" s="37" t="s">
        <v>740</v>
      </c>
      <c r="N44" s="37" t="s">
        <v>741</v>
      </c>
    </row>
    <row r="45" customFormat="false" ht="12.75" hidden="false" customHeight="true" outlineLevel="0" collapsed="false">
      <c r="A45" s="37" t="n">
        <v>44</v>
      </c>
      <c r="B45" s="37" t="s">
        <v>313</v>
      </c>
      <c r="C45" s="37" t="s">
        <v>645</v>
      </c>
      <c r="D45" s="37" t="s">
        <v>742</v>
      </c>
      <c r="E45" s="38" t="s">
        <v>743</v>
      </c>
      <c r="F45" s="37" t="s">
        <v>696</v>
      </c>
      <c r="G45" s="37" t="s">
        <v>239</v>
      </c>
      <c r="H45" s="37" t="n">
        <v>8</v>
      </c>
      <c r="I45" s="37"/>
      <c r="J45" s="37" t="s">
        <v>99</v>
      </c>
      <c r="K45" s="37" t="s">
        <v>98</v>
      </c>
      <c r="L45" s="37" t="s">
        <v>375</v>
      </c>
      <c r="M45" s="37" t="s">
        <v>740</v>
      </c>
      <c r="N45" s="37"/>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2026-09-04T23:58:17Z</dcterms:created>
  <dc:creator>openpyxl</dc:creator>
  <dc:description/>
  <dc:language>en-US</dc:language>
  <cp:lastModifiedBy/>
  <dcterms:modified xsi:type="dcterms:W3CDTF">2026-09-04T23:58:17Z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